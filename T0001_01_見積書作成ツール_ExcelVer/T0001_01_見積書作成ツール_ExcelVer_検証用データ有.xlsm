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de2\OneDrive\デスクトップ\開発\Excelツール\ツール\T0001_見積書作成ツール\"/>
    </mc:Choice>
  </mc:AlternateContent>
  <xr:revisionPtr revIDLastSave="0" documentId="13_ncr:1_{2F7358B9-6CF6-4EB0-A3FD-1672764785C1}" xr6:coauthVersionLast="45" xr6:coauthVersionMax="45" xr10:uidLastSave="{00000000-0000-0000-0000-000000000000}"/>
  <bookViews>
    <workbookView xWindow="-120" yWindow="-120" windowWidth="29040" windowHeight="15840" xr2:uid="{2655BC81-0C48-4466-9321-3BDA8C762919}"/>
  </bookViews>
  <sheets>
    <sheet name="見積データ" sheetId="1" r:id="rId1"/>
    <sheet name="見積商品セットデータ" sheetId="4" r:id="rId2"/>
    <sheet name="商品データ" sheetId="5" r:id="rId3"/>
    <sheet name="基礎データ" sheetId="3" r:id="rId4"/>
    <sheet name="テンプレート" sheetId="2" r:id="rId5"/>
  </sheets>
  <functionGroups builtInGroupCount="19"/>
  <definedNames>
    <definedName name="_xlnm._FilterDatabase" localSheetId="2" hidden="1">商品データ!$B$4:$E$65</definedName>
    <definedName name="_xlnm.Print_Area" localSheetId="4">テンプレート!$B$1:$O$45</definedName>
    <definedName name="テンプレート_その他備考格納セル">テンプレート!$B$44</definedName>
    <definedName name="テンプレート_会社名格納セル">テンプレート!$B$5</definedName>
    <definedName name="テンプレート_見積日格納セル">テンプレート!$M$1</definedName>
    <definedName name="テンプレート_見積番号格納セル">テンプレート!$M$2</definedName>
    <definedName name="テンプレート_支払条件格納セル">テンプレート!$F$11</definedName>
    <definedName name="テンプレート_消費税格納セル">テンプレート!$K$38</definedName>
    <definedName name="テンプレート_担当者格納セル">テンプレート!$B$6</definedName>
    <definedName name="テンプレート_納期格納セル">テンプレート!$F$10</definedName>
    <definedName name="テンプレート_有効期限格納セル">テンプレート!$F$12</definedName>
    <definedName name="見積データ_見積商品セット番号入力欄">見積データ!$I$11:$I$1000</definedName>
    <definedName name="見積データ列_ヘッダー">見積データ!$B$10:$J$10</definedName>
    <definedName name="見積商品セットデータ_商品コード入力欄">見積商品セットデータ!$D$5:$D$1000</definedName>
    <definedName name="見積商品セットデータ列_ヘッダー">見積商品セットデータ!$B$4:$G$4</definedName>
    <definedName name="商品データ列_ヘッダー">商品データ!$B$4:$E$4</definedName>
    <definedName name="商品テーブル_ヘッダー">テンプレート!$B$17:$O$17</definedName>
    <definedName name="消費税の値">見積データ!$D$5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5" i="2" l="1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B65" i="5" l="1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5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L18" i="2" l="1"/>
  <c r="L36" i="2" s="1"/>
  <c r="L38" i="2" l="1"/>
  <c r="L40" i="2" l="1"/>
  <c r="D14" i="2" s="1"/>
</calcChain>
</file>

<file path=xl/sharedStrings.xml><?xml version="1.0" encoding="utf-8"?>
<sst xmlns="http://schemas.openxmlformats.org/spreadsheetml/2006/main" count="156" uniqueCount="130">
  <si>
    <t>ESTIMATE</t>
    <phoneticPr fontId="1" alignment="center"/>
  </si>
  <si>
    <t>下記の通りお見積もり申し上げます。</t>
    <rPh sb="3" eb="4">
      <t>トオ</t>
    </rPh>
    <rPh sb="6" eb="8">
      <t>ミツ</t>
    </rPh>
    <phoneticPr fontId="1" alignment="center"/>
  </si>
  <si>
    <t>納期：</t>
    <phoneticPr fontId="1" alignment="center"/>
  </si>
  <si>
    <t>支払条件：</t>
    <phoneticPr fontId="1" alignment="center"/>
  </si>
  <si>
    <t>有効期限：</t>
    <phoneticPr fontId="1" alignment="center"/>
  </si>
  <si>
    <t>TEL：</t>
    <phoneticPr fontId="1" alignment="center"/>
  </si>
  <si>
    <t>FAX：</t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</si>
  <si>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</si>
  <si>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</si>
  <si>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</si>
  <si>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</si>
  <si>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</si>
  <si>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</si>
  <si>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式</t>
    <rPh sb="0" eb="1">
      <t>シキ</t>
    </rPh>
    <phoneticPr fontId="14"/>
  </si>
  <si>
    <t>個</t>
    <rPh sb="0" eb="1">
      <t>コ</t>
    </rPh>
    <phoneticPr fontId="14"/>
  </si>
  <si>
    <t>時間</t>
    <rPh sb="0" eb="2">
      <t>ジカン</t>
    </rPh>
    <phoneticPr fontId="14"/>
  </si>
  <si>
    <t>日</t>
    <rPh sb="0" eb="1">
      <t>ニチ</t>
    </rPh>
    <phoneticPr fontId="14"/>
  </si>
  <si>
    <t>小計</t>
    <phoneticPr fontId="1" alignment="center"/>
  </si>
  <si>
    <t>消費税</t>
    <phoneticPr fontId="1" alignment="center"/>
  </si>
  <si>
    <t>合計金額</t>
    <phoneticPr fontId="1" alignment="center"/>
  </si>
  <si>
    <t>御　見　積　書</t>
    <rPh sb="0" eb="1">
      <t>ゴ</t>
    </rPh>
    <rPh sb="2" eb="3">
      <t>ミツモリショ</t>
    </rPh>
    <rPh sb="3" eb="7">
      <t>セイキュウショ</t>
    </rPh>
    <phoneticPr fontId="1"/>
  </si>
  <si>
    <t>株式会社 テキトウ</t>
    <phoneticPr fontId="1" alignment="center"/>
  </si>
  <si>
    <t>〒000-0000</t>
    <phoneticPr fontId="1"/>
  </si>
  <si>
    <t>愛知県名古屋市〇〇区2丁目〇〇番</t>
    <phoneticPr fontId="1" alignment="center"/>
  </si>
  <si>
    <t>△△ビル2階</t>
    <phoneticPr fontId="1" alignment="center"/>
  </si>
  <si>
    <t>tekitou@tekitou.jp</t>
    <phoneticPr fontId="1"/>
  </si>
  <si>
    <t>山田　太郎</t>
    <rPh sb="0" eb="2">
      <t>ヤマダ</t>
    </rPh>
    <rPh sb="3" eb="5">
      <t>タロウ</t>
    </rPh>
    <phoneticPr fontId="1"/>
  </si>
  <si>
    <t>数量単位</t>
    <rPh sb="0" eb="2">
      <t>スウリョウ</t>
    </rPh>
    <rPh sb="2" eb="4">
      <t>タンイ</t>
    </rPh>
    <phoneticPr fontId="1"/>
  </si>
  <si>
    <t>ヶ月</t>
    <rPh sb="1" eb="2">
      <t>ゲツ</t>
    </rPh>
    <phoneticPr fontId="14"/>
  </si>
  <si>
    <t>見積日：$estimation_day</t>
    <rPh sb="0" eb="2">
      <t>ミツモリ</t>
    </rPh>
    <rPh sb="2" eb="3">
      <t>ビ</t>
    </rPh>
    <phoneticPr fontId="1" alignment="center"/>
  </si>
  <si>
    <t>見積番号：$estimation_serial_num</t>
    <rPh sb="0" eb="2">
      <t>ミツ</t>
    </rPh>
    <phoneticPr fontId="1" alignment="center"/>
  </si>
  <si>
    <t>ご担当者様：$parson_in_charge</t>
    <rPh sb="1" eb="5">
      <t>タントウシャサマ</t>
    </rPh>
    <phoneticPr fontId="1"/>
  </si>
  <si>
    <t>御見積金額</t>
    <rPh sb="0" eb="1">
      <t>オ</t>
    </rPh>
    <rPh sb="1" eb="3">
      <t>ミツモリ</t>
    </rPh>
    <rPh sb="3" eb="5">
      <t>キンガク</t>
    </rPh>
    <phoneticPr fontId="1" alignment="center"/>
  </si>
  <si>
    <t>商品コード</t>
    <rPh sb="0" eb="2">
      <t>ショウヒン</t>
    </rPh>
    <phoneticPr fontId="1"/>
  </si>
  <si>
    <t>商品名</t>
    <rPh sb="0" eb="3">
      <t>ショウヒンメイ</t>
    </rPh>
    <phoneticPr fontId="1"/>
  </si>
  <si>
    <t>備考</t>
    <rPh sb="0" eb="2">
      <t>ビコウ</t>
    </rPh>
    <phoneticPr fontId="1"/>
  </si>
  <si>
    <t>見積書作成ツール Ver.1.00</t>
    <rPh sb="0" eb="3">
      <t>ミツモリショ</t>
    </rPh>
    <rPh sb="3" eb="5">
      <t>サクセイ</t>
    </rPh>
    <phoneticPr fontId="1"/>
  </si>
  <si>
    <t>設定欄</t>
    <rPh sb="0" eb="2">
      <t>セッテイ</t>
    </rPh>
    <rPh sb="2" eb="3">
      <t>ラン</t>
    </rPh>
    <phoneticPr fontId="1"/>
  </si>
  <si>
    <t>消費税の値</t>
    <rPh sb="0" eb="3">
      <t>ショウヒゼイ</t>
    </rPh>
    <rPh sb="4" eb="5">
      <t>アタイ</t>
    </rPh>
    <phoneticPr fontId="1"/>
  </si>
  <si>
    <t>データ番号</t>
    <rPh sb="3" eb="5">
      <t>バンゴウ</t>
    </rPh>
    <phoneticPr fontId="1"/>
  </si>
  <si>
    <t>見積番号</t>
    <rPh sb="0" eb="2">
      <t>ミツ</t>
    </rPh>
    <rPh sb="2" eb="4">
      <t>バンゴウ</t>
    </rPh>
    <phoneticPr fontId="1"/>
  </si>
  <si>
    <t>会社名</t>
  </si>
  <si>
    <t>担当者</t>
    <rPh sb="0" eb="3">
      <t>タントウシャ</t>
    </rPh>
    <phoneticPr fontId="1"/>
  </si>
  <si>
    <t>納期</t>
    <rPh sb="0" eb="2">
      <t>ノウキ</t>
    </rPh>
    <phoneticPr fontId="1"/>
  </si>
  <si>
    <t>有効期限</t>
    <phoneticPr fontId="1"/>
  </si>
  <si>
    <t>支払条件</t>
    <rPh sb="0" eb="2">
      <t>シハラ</t>
    </rPh>
    <rPh sb="2" eb="4">
      <t>ジョウケン</t>
    </rPh>
    <phoneticPr fontId="1"/>
  </si>
  <si>
    <t>その他備考</t>
    <rPh sb="2" eb="3">
      <t>タ</t>
    </rPh>
    <rPh sb="3" eb="5">
      <t>ビコウ</t>
    </rPh>
    <phoneticPr fontId="1" alignment="center"/>
  </si>
  <si>
    <t>その他備考</t>
    <rPh sb="2" eb="3">
      <t>タ</t>
    </rPh>
    <rPh sb="3" eb="5">
      <t>ビコウ</t>
    </rPh>
    <phoneticPr fontId="1"/>
  </si>
  <si>
    <t>No.</t>
    <phoneticPr fontId="1"/>
  </si>
  <si>
    <t>基礎データ</t>
    <rPh sb="0" eb="2">
      <t>キソ</t>
    </rPh>
    <phoneticPr fontId="1"/>
  </si>
  <si>
    <t>見積商品セットデータ</t>
  </si>
  <si>
    <t>商品データ</t>
  </si>
  <si>
    <t>数量</t>
    <rPh sb="0" eb="2">
      <t>スウリョウ</t>
    </rPh>
    <phoneticPr fontId="1"/>
  </si>
  <si>
    <t>単 価</t>
    <phoneticPr fontId="1"/>
  </si>
  <si>
    <t>A_B_001</t>
    <phoneticPr fontId="1"/>
  </si>
  <si>
    <t>A_A_001</t>
    <phoneticPr fontId="1"/>
  </si>
  <si>
    <t>Aネジ</t>
    <phoneticPr fontId="1"/>
  </si>
  <si>
    <t>A_A_002</t>
  </si>
  <si>
    <t>Bネジ</t>
    <phoneticPr fontId="1"/>
  </si>
  <si>
    <t>A_A_003</t>
  </si>
  <si>
    <t>Aボルト</t>
    <phoneticPr fontId="1"/>
  </si>
  <si>
    <t>Bボルト</t>
    <phoneticPr fontId="1"/>
  </si>
  <si>
    <t>ワッシャー一式</t>
    <rPh sb="5" eb="7">
      <t>イッシキ</t>
    </rPh>
    <phoneticPr fontId="1"/>
  </si>
  <si>
    <t>A配管工事</t>
    <rPh sb="1" eb="3">
      <t>ハイカン</t>
    </rPh>
    <rPh sb="3" eb="5">
      <t>コウジ</t>
    </rPh>
    <phoneticPr fontId="1"/>
  </si>
  <si>
    <t>B配管工事</t>
    <phoneticPr fontId="1"/>
  </si>
  <si>
    <t>A水回り工事</t>
    <rPh sb="1" eb="3">
      <t>ミズマワ</t>
    </rPh>
    <phoneticPr fontId="1"/>
  </si>
  <si>
    <t>B水回り工事</t>
    <phoneticPr fontId="1"/>
  </si>
  <si>
    <t>A電気工事</t>
    <rPh sb="1" eb="5">
      <t>デンキコウジ</t>
    </rPh>
    <phoneticPr fontId="1"/>
  </si>
  <si>
    <t>A_B_002</t>
  </si>
  <si>
    <t>A_B_003</t>
  </si>
  <si>
    <t>A_B_005</t>
  </si>
  <si>
    <t>S_001</t>
  </si>
  <si>
    <t>S_001</t>
    <phoneticPr fontId="1"/>
  </si>
  <si>
    <t>A_A_005</t>
    <phoneticPr fontId="1"/>
  </si>
  <si>
    <t>S_002</t>
    <phoneticPr fontId="1"/>
  </si>
  <si>
    <t>A_A_003</t>
    <phoneticPr fontId="1"/>
  </si>
  <si>
    <t>A_B_005</t>
    <phoneticPr fontId="1"/>
  </si>
  <si>
    <t>XXXなのでご注意ください。</t>
    <rPh sb="7" eb="9">
      <t>チュウイ</t>
    </rPh>
    <phoneticPr fontId="1"/>
  </si>
  <si>
    <t>限定数量200</t>
    <rPh sb="0" eb="4">
      <t>ゲンテイスウリョウ</t>
    </rPh>
    <phoneticPr fontId="1"/>
  </si>
  <si>
    <t>E_00000001</t>
    <phoneticPr fontId="1"/>
  </si>
  <si>
    <t>株式会社伊藤</t>
    <rPh sb="0" eb="4">
      <t>カブシキガイシャ</t>
    </rPh>
    <rPh sb="4" eb="6">
      <t>イトウ</t>
    </rPh>
    <phoneticPr fontId="1"/>
  </si>
  <si>
    <t>大谷 拓夫</t>
    <phoneticPr fontId="1"/>
  </si>
  <si>
    <t>正式発注後１週間以内</t>
    <phoneticPr fontId="1"/>
  </si>
  <si>
    <t>月末締め翌月末払い</t>
  </si>
  <si>
    <t>月末締め翌月末払い</t>
    <phoneticPr fontId="1"/>
  </si>
  <si>
    <t>二週間</t>
    <rPh sb="0" eb="1">
      <t>ニ</t>
    </rPh>
    <rPh sb="1" eb="3">
      <t>シュウカン</t>
    </rPh>
    <phoneticPr fontId="1"/>
  </si>
  <si>
    <t>E_00000002</t>
    <phoneticPr fontId="1"/>
  </si>
  <si>
    <t>有限会社アニノマス</t>
    <rPh sb="0" eb="4">
      <t>ユウゲンガイシャ</t>
    </rPh>
    <phoneticPr fontId="1"/>
  </si>
  <si>
    <t>田上 八洲子</t>
    <phoneticPr fontId="1"/>
  </si>
  <si>
    <t>請求後７営業日以内</t>
    <rPh sb="0" eb="2">
      <t>セイキュウ</t>
    </rPh>
    <rPh sb="2" eb="3">
      <t>ゴ</t>
    </rPh>
    <rPh sb="4" eb="7">
      <t>エイギョウビ</t>
    </rPh>
    <rPh sb="7" eb="9">
      <t>イナイ</t>
    </rPh>
    <phoneticPr fontId="1"/>
  </si>
  <si>
    <t>１０日</t>
    <rPh sb="2" eb="3">
      <t>ニチ</t>
    </rPh>
    <phoneticPr fontId="1"/>
  </si>
  <si>
    <t>E_00000100</t>
    <phoneticPr fontId="1"/>
  </si>
  <si>
    <t>ヒタヂ電気株式会社</t>
    <rPh sb="3" eb="5">
      <t>デンキ</t>
    </rPh>
    <rPh sb="5" eb="9">
      <t>カブシキガイシャ</t>
    </rPh>
    <phoneticPr fontId="1"/>
  </si>
  <si>
    <t>松山 孝成</t>
    <phoneticPr fontId="1"/>
  </si>
  <si>
    <t>7/1</t>
    <phoneticPr fontId="1"/>
  </si>
  <si>
    <t>一ヶ月</t>
    <rPh sb="0" eb="3">
      <t>イッカゲツ</t>
    </rPh>
    <phoneticPr fontId="1"/>
  </si>
  <si>
    <t>E_00000110</t>
    <phoneticPr fontId="1"/>
  </si>
  <si>
    <t>※　未定　この行は作成途中です</t>
    <rPh sb="2" eb="4">
      <t>ミテイ</t>
    </rPh>
    <rPh sb="7" eb="8">
      <t>ギョウ</t>
    </rPh>
    <rPh sb="9" eb="13">
      <t>サクセイトチュウ</t>
    </rPh>
    <phoneticPr fontId="1"/>
  </si>
  <si>
    <t>消費税（右側の値が使用可能となります）</t>
    <rPh sb="0" eb="3">
      <t>ショウヒゼイ</t>
    </rPh>
    <rPh sb="4" eb="6">
      <t>ミギガワ</t>
    </rPh>
    <rPh sb="7" eb="8">
      <t>アタイ</t>
    </rPh>
    <rPh sb="9" eb="13">
      <t>シヨウカノウ</t>
    </rPh>
    <phoneticPr fontId="1"/>
  </si>
  <si>
    <t>数量単位（右側の値が使用可能となります）</t>
    <rPh sb="0" eb="2">
      <t>スウリョウ</t>
    </rPh>
    <rPh sb="2" eb="4">
      <t>タンイ</t>
    </rPh>
    <phoneticPr fontId="1"/>
  </si>
  <si>
    <t>2022年　12月　1日</t>
    <rPh sb="4" eb="5">
      <t>ネン</t>
    </rPh>
    <rPh sb="8" eb="9">
      <t>ガツ</t>
    </rPh>
    <rPh sb="11" eb="12">
      <t>ニチ</t>
    </rPh>
    <phoneticPr fontId="1"/>
  </si>
  <si>
    <t>A_C_001</t>
  </si>
  <si>
    <t>A_C_001</t>
    <phoneticPr fontId="1"/>
  </si>
  <si>
    <t>A_A_004</t>
    <phoneticPr fontId="1"/>
  </si>
  <si>
    <t>電気設備年間保守</t>
    <rPh sb="0" eb="4">
      <t>デンキセツビ</t>
    </rPh>
    <rPh sb="4" eb="6">
      <t>ネンカン</t>
    </rPh>
    <rPh sb="6" eb="8">
      <t>ホシュ</t>
    </rPh>
    <phoneticPr fontId="1"/>
  </si>
  <si>
    <t>見積商品セット番号</t>
  </si>
  <si>
    <t>見積商品セット番号</t>
    <rPh sb="0" eb="2">
      <t>ミツ</t>
    </rPh>
    <rPh sb="2" eb="4">
      <t>ショウヒン</t>
    </rPh>
    <rPh sb="7" eb="9">
      <t>バンゴウ</t>
    </rPh>
    <phoneticPr fontId="1"/>
  </si>
  <si>
    <t>A_B_004</t>
    <phoneticPr fontId="1"/>
  </si>
  <si>
    <t>株式会社AAAA</t>
    <rPh sb="0" eb="4">
      <t>カブシキガイシャ</t>
    </rPh>
    <phoneticPr fontId="1"/>
  </si>
  <si>
    <t>二週間</t>
  </si>
  <si>
    <t>A_A_004</t>
  </si>
  <si>
    <t>$company_name　御中</t>
    <rPh sb="14" eb="16">
      <t>オンチュウ</t>
    </rPh>
    <phoneticPr fontId="1" alignment="center"/>
  </si>
  <si>
    <t>AAABBB</t>
    <phoneticPr fontId="1"/>
  </si>
  <si>
    <t>CCDDDD</t>
    <phoneticPr fontId="1"/>
  </si>
  <si>
    <t>EFFFFF</t>
    <phoneticPr fontId="1"/>
  </si>
  <si>
    <t>最低10個よりご注文いただけます。</t>
    <rPh sb="0" eb="2">
      <t>サイテイ</t>
    </rPh>
    <rPh sb="4" eb="5">
      <t>コ</t>
    </rPh>
    <rPh sb="8" eb="10">
      <t>チュウモン</t>
    </rPh>
    <phoneticPr fontId="1"/>
  </si>
  <si>
    <t>1122-334-455</t>
    <phoneticPr fontId="1"/>
  </si>
  <si>
    <t>1133-445-566</t>
    <phoneticPr fontId="1"/>
  </si>
  <si>
    <t>E_00000235</t>
    <phoneticPr fontId="1"/>
  </si>
  <si>
    <t>株式会社UUHH</t>
    <rPh sb="0" eb="4">
      <t>カブシキガイシャ</t>
    </rPh>
    <phoneticPr fontId="1"/>
  </si>
  <si>
    <t>Mike Kains</t>
    <phoneticPr fontId="1"/>
  </si>
  <si>
    <t>正式発注後10日以内</t>
    <rPh sb="7" eb="8">
      <t>ニチ</t>
    </rPh>
    <phoneticPr fontId="1"/>
  </si>
  <si>
    <t>月初締め翌月末払い</t>
    <rPh sb="0" eb="2">
      <t>ツキハジ</t>
    </rPh>
    <phoneticPr fontId="1"/>
  </si>
  <si>
    <t>一週間</t>
    <rPh sb="0" eb="3">
      <t>イッシュウカン</t>
    </rPh>
    <phoneticPr fontId="1"/>
  </si>
  <si>
    <t>X_003</t>
  </si>
  <si>
    <t>X_003</t>
    <phoneticPr fontId="1"/>
  </si>
  <si>
    <t>A_A_001</t>
  </si>
  <si>
    <t>A_B_004</t>
  </si>
  <si>
    <t>あああああああああああああああああああああああああああああ</t>
    <phoneticPr fontId="1"/>
  </si>
  <si>
    <t>PDF出力
（作成後同時に
PDF出力をする
機能です）</t>
    <rPh sb="7" eb="9">
      <t>サクセイ</t>
    </rPh>
    <rPh sb="9" eb="10">
      <t>ゴ</t>
    </rPh>
    <rPh sb="10" eb="12">
      <t>ドウジ</t>
    </rPh>
    <rPh sb="17" eb="19">
      <t>シュツリョク</t>
    </rPh>
    <rPh sb="23" eb="25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</si>
</sst>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&lt;=999]000;[&lt;=9999]000\-00;000\-0000"/>
    <numFmt numFmtId="178" formatCode="#,##0_);[Red]\(#,##0\)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28"/>
      <color indexed="8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sz val="6"/>
      <name val="ＭＳ Ｐ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u/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/>
  </cellStyleXfs>
  <cellXfs count="101">
    <xf numFmtId="0" fontId="0" fillId="0" borderId="0" xfId="0">
      <alignment vertical="center"/>
    </xf>
    <xf numFmtId="0" fontId="4" fillId="0" borderId="0" xfId="2" applyFont="1"/>
    <xf numFmtId="0" fontId="4" fillId="0" borderId="0" xfId="2" applyFont="1" applyAlignment="1">
      <alignment horizontal="left" vertical="center"/>
    </xf>
    <xf numFmtId="0" fontId="9" fillId="0" borderId="0" xfId="2" applyFont="1" applyAlignment="1">
      <alignment horizontal="center" vertical="top"/>
    </xf>
    <xf numFmtId="0" fontId="7" fillId="0" borderId="0" xfId="2" applyFont="1" applyAlignment="1">
      <alignment horizontal="left"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right" vertical="center"/>
    </xf>
    <xf numFmtId="0" fontId="4" fillId="0" borderId="0" xfId="2" applyFont="1" applyAlignment="1">
      <alignment horizontal="left"/>
    </xf>
    <xf numFmtId="0" fontId="11" fillId="0" borderId="0" xfId="2" applyFont="1" applyAlignment="1">
      <alignment horizontal="right" vertical="top"/>
    </xf>
    <xf numFmtId="0" fontId="8" fillId="0" borderId="0" xfId="2" applyFont="1"/>
    <xf numFmtId="3" fontId="8" fillId="0" borderId="0" xfId="2" applyNumberFormat="1" applyFont="1"/>
    <xf numFmtId="0" fontId="12" fillId="0" borderId="0" xfId="2" applyFont="1"/>
    <xf numFmtId="0" fontId="11" fillId="0" borderId="12" xfId="2" applyFont="1" applyBorder="1" applyAlignment="1">
      <alignment vertical="center"/>
    </xf>
    <xf numFmtId="0" fontId="15" fillId="0" borderId="0" xfId="2" applyFont="1" applyAlignment="1">
      <alignment horizontal="right"/>
    </xf>
    <xf numFmtId="0" fontId="8" fillId="0" borderId="0" xfId="2" applyFont="1" applyBorder="1" applyAlignment="1">
      <alignment horizontal="left" vertical="center" indent="1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9" fontId="0" fillId="0" borderId="8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22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0" xfId="0" applyAlignment="1">
      <alignment vertical="center" shrinkToFit="1"/>
    </xf>
    <xf numFmtId="0" fontId="0" fillId="0" borderId="9" xfId="0" applyBorder="1">
      <alignment vertical="center"/>
    </xf>
    <xf numFmtId="0" fontId="0" fillId="2" borderId="9" xfId="0" applyFill="1" applyBorder="1">
      <alignment vertical="center"/>
    </xf>
    <xf numFmtId="0" fontId="0" fillId="2" borderId="9" xfId="0" applyFill="1" applyBorder="1" applyAlignment="1">
      <alignment vertical="center" shrinkToFit="1"/>
    </xf>
    <xf numFmtId="0" fontId="17" fillId="2" borderId="21" xfId="0" applyFont="1" applyFill="1" applyBorder="1" applyAlignment="1">
      <alignment vertical="center" wrapText="1" shrinkToFit="1"/>
    </xf>
    <xf numFmtId="0" fontId="0" fillId="0" borderId="23" xfId="0" applyBorder="1">
      <alignment vertical="center"/>
    </xf>
    <xf numFmtId="0" fontId="18" fillId="0" borderId="0" xfId="0" applyFont="1">
      <alignment vertical="center"/>
    </xf>
    <xf numFmtId="0" fontId="0" fillId="3" borderId="9" xfId="0" applyFill="1" applyBorder="1" applyAlignment="1">
      <alignment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0" borderId="9" xfId="0" applyBorder="1" applyAlignment="1">
      <alignment vertical="center" shrinkToFit="1"/>
    </xf>
    <xf numFmtId="49" fontId="0" fillId="0" borderId="9" xfId="0" applyNumberFormat="1" applyBorder="1" applyAlignment="1">
      <alignment vertical="center" shrinkToFit="1"/>
    </xf>
    <xf numFmtId="0" fontId="0" fillId="2" borderId="11" xfId="0" applyFill="1" applyBorder="1" applyAlignment="1">
      <alignment vertical="center" shrinkToFit="1"/>
    </xf>
    <xf numFmtId="0" fontId="0" fillId="2" borderId="17" xfId="0" applyFill="1" applyBorder="1" applyAlignment="1">
      <alignment vertical="center" shrinkToFit="1"/>
    </xf>
    <xf numFmtId="176" fontId="11" fillId="0" borderId="11" xfId="3" applyNumberFormat="1" applyFont="1" applyFill="1" applyBorder="1" applyAlignment="1">
      <alignment horizontal="right" vertical="center" shrinkToFit="1"/>
    </xf>
    <xf numFmtId="178" fontId="11" fillId="0" borderId="10" xfId="3" applyNumberFormat="1" applyFont="1" applyFill="1" applyBorder="1" applyAlignment="1">
      <alignment vertical="center" shrinkToFit="1"/>
    </xf>
    <xf numFmtId="0" fontId="0" fillId="0" borderId="8" xfId="0" applyBorder="1">
      <alignment vertical="center"/>
    </xf>
    <xf numFmtId="0" fontId="0" fillId="0" borderId="11" xfId="0" applyBorder="1">
      <alignment vertical="center"/>
    </xf>
    <xf numFmtId="9" fontId="0" fillId="0" borderId="10" xfId="0" applyNumberFormat="1" applyBorder="1">
      <alignment vertical="center"/>
    </xf>
    <xf numFmtId="9" fontId="0" fillId="0" borderId="11" xfId="0" applyNumberFormat="1" applyBorder="1">
      <alignment vertical="center"/>
    </xf>
    <xf numFmtId="177" fontId="11" fillId="0" borderId="10" xfId="2" applyNumberFormat="1" applyFont="1" applyBorder="1" applyAlignment="1">
      <alignment horizontal="left" vertical="center" shrinkToFit="1"/>
    </xf>
    <xf numFmtId="177" fontId="11" fillId="0" borderId="8" xfId="2" applyNumberFormat="1" applyFont="1" applyBorder="1" applyAlignment="1">
      <alignment horizontal="left" vertical="center" shrinkToFit="1"/>
    </xf>
    <xf numFmtId="177" fontId="11" fillId="0" borderId="11" xfId="2" applyNumberFormat="1" applyFont="1" applyBorder="1" applyAlignment="1">
      <alignment horizontal="left" vertical="center" shrinkToFit="1"/>
    </xf>
    <xf numFmtId="176" fontId="11" fillId="0" borderId="10" xfId="3" applyNumberFormat="1" applyFont="1" applyFill="1" applyBorder="1" applyAlignment="1">
      <alignment horizontal="right" vertical="center" shrinkToFit="1"/>
    </xf>
    <xf numFmtId="176" fontId="11" fillId="0" borderId="11" xfId="3" applyNumberFormat="1" applyFont="1" applyFill="1" applyBorder="1" applyAlignment="1">
      <alignment horizontal="right" vertical="center" shrinkToFit="1"/>
    </xf>
    <xf numFmtId="0" fontId="8" fillId="0" borderId="5" xfId="2" applyFont="1" applyBorder="1" applyAlignment="1">
      <alignment horizontal="left" vertical="center" indent="1" shrinkToFit="1"/>
    </xf>
    <xf numFmtId="0" fontId="9" fillId="0" borderId="6" xfId="2" applyFont="1" applyBorder="1" applyAlignment="1">
      <alignment horizontal="right" vertical="center" indent="1"/>
    </xf>
    <xf numFmtId="177" fontId="13" fillId="0" borderId="10" xfId="2" applyNumberFormat="1" applyFont="1" applyBorder="1" applyAlignment="1">
      <alignment horizontal="center" vertical="center"/>
    </xf>
    <xf numFmtId="177" fontId="13" fillId="0" borderId="11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0" fontId="11" fillId="0" borderId="0" xfId="2" applyFont="1" applyAlignment="1">
      <alignment horizontal="right" vertical="center"/>
    </xf>
    <xf numFmtId="0" fontId="5" fillId="0" borderId="8" xfId="2" applyFont="1" applyBorder="1" applyAlignment="1">
      <alignment horizontal="left" vertical="center" shrinkToFit="1"/>
    </xf>
    <xf numFmtId="0" fontId="7" fillId="0" borderId="0" xfId="2" applyFont="1" applyAlignment="1">
      <alignment horizontal="left" vertical="top" wrapText="1"/>
    </xf>
    <xf numFmtId="0" fontId="5" fillId="0" borderId="1" xfId="2" applyFont="1" applyBorder="1" applyAlignment="1">
      <alignment horizontal="left" vertical="center" shrinkToFit="1"/>
    </xf>
    <xf numFmtId="0" fontId="5" fillId="0" borderId="2" xfId="2" applyFont="1" applyBorder="1" applyAlignment="1">
      <alignment horizontal="left" vertical="center" shrinkToFit="1"/>
    </xf>
    <xf numFmtId="0" fontId="6" fillId="0" borderId="3" xfId="2" applyFont="1" applyBorder="1" applyAlignment="1">
      <alignment horizontal="center"/>
    </xf>
    <xf numFmtId="0" fontId="7" fillId="0" borderId="4" xfId="2" applyFont="1" applyBorder="1" applyAlignment="1">
      <alignment horizontal="center" vertical="center"/>
    </xf>
    <xf numFmtId="0" fontId="5" fillId="0" borderId="0" xfId="2" applyFont="1" applyBorder="1" applyAlignment="1">
      <alignment horizontal="right" vertical="center"/>
    </xf>
    <xf numFmtId="0" fontId="7" fillId="0" borderId="0" xfId="2" applyFont="1" applyAlignment="1">
      <alignment horizontal="left" vertical="top"/>
    </xf>
    <xf numFmtId="0" fontId="5" fillId="0" borderId="7" xfId="2" applyFont="1" applyBorder="1" applyAlignment="1">
      <alignment horizontal="left" vertical="center" shrinkToFit="1"/>
    </xf>
    <xf numFmtId="0" fontId="11" fillId="0" borderId="0" xfId="2" applyFont="1" applyAlignment="1">
      <alignment horizontal="center" vertical="top"/>
    </xf>
    <xf numFmtId="0" fontId="8" fillId="0" borderId="0" xfId="2" applyFont="1" applyAlignment="1">
      <alignment horizontal="left" vertical="center"/>
    </xf>
    <xf numFmtId="0" fontId="8" fillId="0" borderId="5" xfId="2" applyFont="1" applyBorder="1" applyAlignment="1">
      <alignment horizontal="left" vertical="center"/>
    </xf>
    <xf numFmtId="176" fontId="8" fillId="0" borderId="0" xfId="2" applyNumberFormat="1" applyFont="1" applyAlignment="1">
      <alignment horizontal="right" vertical="center"/>
    </xf>
    <xf numFmtId="176" fontId="8" fillId="0" borderId="5" xfId="2" applyNumberFormat="1" applyFont="1" applyBorder="1" applyAlignment="1">
      <alignment horizontal="right" vertical="center"/>
    </xf>
    <xf numFmtId="176" fontId="12" fillId="0" borderId="0" xfId="2" applyNumberFormat="1" applyFont="1" applyAlignment="1">
      <alignment horizontal="center" vertical="center"/>
    </xf>
    <xf numFmtId="176" fontId="12" fillId="0" borderId="5" xfId="2" applyNumberFormat="1" applyFont="1" applyBorder="1" applyAlignment="1">
      <alignment horizontal="center" vertical="center"/>
    </xf>
    <xf numFmtId="0" fontId="2" fillId="0" borderId="0" xfId="1" applyAlignment="1">
      <alignment horizontal="center" vertical="top"/>
    </xf>
    <xf numFmtId="0" fontId="4" fillId="0" borderId="0" xfId="2" applyFont="1" applyAlignment="1">
      <alignment horizontal="center"/>
    </xf>
    <xf numFmtId="0" fontId="13" fillId="0" borderId="0" xfId="2" applyFont="1" applyAlignment="1">
      <alignment horizontal="center" vertical="center" wrapText="1"/>
    </xf>
    <xf numFmtId="0" fontId="13" fillId="0" borderId="15" xfId="2" applyFont="1" applyBorder="1" applyAlignment="1">
      <alignment horizontal="center" vertical="center" wrapText="1"/>
    </xf>
    <xf numFmtId="176" fontId="13" fillId="0" borderId="14" xfId="3" applyNumberFormat="1" applyFont="1" applyBorder="1" applyAlignment="1">
      <alignment horizontal="right" vertical="center"/>
    </xf>
    <xf numFmtId="176" fontId="13" fillId="0" borderId="12" xfId="3" applyNumberFormat="1" applyFont="1" applyBorder="1" applyAlignment="1">
      <alignment horizontal="right" vertical="center"/>
    </xf>
    <xf numFmtId="176" fontId="13" fillId="0" borderId="13" xfId="3" applyNumberFormat="1" applyFont="1" applyBorder="1" applyAlignment="1">
      <alignment horizontal="right" vertical="center"/>
    </xf>
    <xf numFmtId="176" fontId="13" fillId="0" borderId="16" xfId="3" applyNumberFormat="1" applyFont="1" applyBorder="1" applyAlignment="1">
      <alignment horizontal="right" vertical="center"/>
    </xf>
    <xf numFmtId="176" fontId="13" fillId="0" borderId="7" xfId="3" applyNumberFormat="1" applyFont="1" applyBorder="1" applyAlignment="1">
      <alignment horizontal="right" vertical="center"/>
    </xf>
    <xf numFmtId="176" fontId="13" fillId="0" borderId="17" xfId="3" applyNumberFormat="1" applyFont="1" applyBorder="1" applyAlignment="1">
      <alignment horizontal="right" vertical="center"/>
    </xf>
    <xf numFmtId="0" fontId="11" fillId="0" borderId="1" xfId="2" applyFont="1" applyBorder="1" applyAlignment="1">
      <alignment horizontal="center" vertical="center"/>
    </xf>
    <xf numFmtId="0" fontId="5" fillId="0" borderId="18" xfId="2" applyFont="1" applyBorder="1" applyAlignment="1">
      <alignment horizontal="center" vertical="center"/>
    </xf>
    <xf numFmtId="0" fontId="5" fillId="0" borderId="19" xfId="2" applyFont="1" applyBorder="1" applyAlignment="1">
      <alignment horizontal="center" vertical="center"/>
    </xf>
    <xf numFmtId="0" fontId="5" fillId="0" borderId="20" xfId="2" applyFont="1" applyBorder="1" applyAlignment="1">
      <alignment horizontal="center" vertical="center"/>
    </xf>
    <xf numFmtId="0" fontId="4" fillId="0" borderId="18" xfId="2" applyFont="1" applyBorder="1" applyAlignment="1">
      <alignment horizontal="left" vertical="center" wrapText="1"/>
    </xf>
    <xf numFmtId="0" fontId="4" fillId="0" borderId="19" xfId="2" applyFont="1" applyBorder="1" applyAlignment="1">
      <alignment horizontal="left" vertical="center"/>
    </xf>
    <xf numFmtId="0" fontId="4" fillId="0" borderId="20" xfId="2" applyFont="1" applyBorder="1" applyAlignment="1">
      <alignment horizontal="left" vertical="center"/>
    </xf>
    <xf numFmtId="0" fontId="13" fillId="0" borderId="0" xfId="2" applyFont="1" applyAlignment="1">
      <alignment horizontal="right" vertical="center"/>
    </xf>
    <xf numFmtId="9" fontId="13" fillId="0" borderId="15" xfId="4" applyFont="1" applyFill="1" applyBorder="1" applyAlignment="1">
      <alignment horizontal="left" vertical="center"/>
    </xf>
    <xf numFmtId="176" fontId="13" fillId="0" borderId="14" xfId="3" applyNumberFormat="1" applyFont="1" applyFill="1" applyBorder="1" applyAlignment="1">
      <alignment horizontal="right" vertical="center"/>
    </xf>
    <xf numFmtId="176" fontId="13" fillId="0" borderId="12" xfId="3" applyNumberFormat="1" applyFont="1" applyFill="1" applyBorder="1" applyAlignment="1">
      <alignment horizontal="right" vertical="center"/>
    </xf>
    <xf numFmtId="176" fontId="13" fillId="0" borderId="13" xfId="3" applyNumberFormat="1" applyFont="1" applyFill="1" applyBorder="1" applyAlignment="1">
      <alignment horizontal="right" vertical="center"/>
    </xf>
    <xf numFmtId="176" fontId="13" fillId="0" borderId="16" xfId="3" applyNumberFormat="1" applyFont="1" applyFill="1" applyBorder="1" applyAlignment="1">
      <alignment horizontal="right" vertical="center"/>
    </xf>
    <xf numFmtId="176" fontId="13" fillId="0" borderId="7" xfId="3" applyNumberFormat="1" applyFont="1" applyFill="1" applyBorder="1" applyAlignment="1">
      <alignment horizontal="right" vertical="center"/>
    </xf>
    <xf numFmtId="176" fontId="13" fillId="0" borderId="17" xfId="3" applyNumberFormat="1" applyFont="1" applyFill="1" applyBorder="1" applyAlignment="1">
      <alignment horizontal="right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15" xfId="2" applyFont="1" applyBorder="1" applyAlignment="1">
      <alignment horizontal="center" vertical="center"/>
    </xf>
  </cellXfs>
  <cellStyles count="6">
    <cellStyle name="パーセント 2" xfId="4" xr:uid="{2D66A228-C40E-4E43-8446-11C3F93FAF72}"/>
    <cellStyle name="ハイパーリンク" xfId="1" builtinId="8"/>
    <cellStyle name="ハイパーリンク 2" xfId="5" xr:uid="{FB78BF44-683A-4BCC-AF18-C9CDD8414AFC}"/>
    <cellStyle name="桁区切り 2" xfId="3" xr:uid="{4685032D-4EE0-4791-954A-3A9AF21853D9}"/>
    <cellStyle name="標準" xfId="0" builtinId="0"/>
    <cellStyle name="標準 2" xfId="2" xr:uid="{C6CEAB05-9F5C-48E6-9C91-B97D672B0C7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114300</xdr:rowOff>
        </xdr:from>
        <xdr:to>
          <xdr:col>3</xdr:col>
          <xdr:colOff>1314450</xdr:colOff>
          <xdr:row>5</xdr:row>
          <xdr:rowOff>371475</xdr:rowOff>
        </xdr:to>
        <xdr:sp macro="" textlink="">
          <xdr:nvSpPr>
            <xdr:cNvPr id="2054" name="OptionButton_PDF_Export_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390525</xdr:rowOff>
        </xdr:from>
        <xdr:to>
          <xdr:col>3</xdr:col>
          <xdr:colOff>1314450</xdr:colOff>
          <xdr:row>5</xdr:row>
          <xdr:rowOff>647700</xdr:rowOff>
        </xdr:to>
        <xdr:sp macro="" textlink="">
          <xdr:nvSpPr>
            <xdr:cNvPr id="2055" name="OptionButton_PDF_Export_OFF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3</xdr:row>
          <xdr:rowOff>200025</xdr:rowOff>
        </xdr:from>
        <xdr:to>
          <xdr:col>7</xdr:col>
          <xdr:colOff>1228725</xdr:colOff>
          <xdr:row>5</xdr:row>
          <xdr:rowOff>742950</xdr:rowOff>
        </xdr:to>
        <xdr:sp macro="" textlink="">
          <xdr:nvSpPr>
            <xdr:cNvPr id="2059" name="CommandButton_C_E_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kitou@tekitou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AB7F-BFD0-4906-8FE9-4052E365D2F6}">
  <sheetPr codeName="Sheet1"/>
  <dimension ref="B2:J1000"/>
  <sheetViews>
    <sheetView showGridLines="0" tabSelected="1" workbookViewId="0">
      <pane ySplit="8" topLeftCell="A9" activePane="bottomLeft" state="frozen"/>
      <selection pane="bottomLeft"/>
    </sheetView>
  </sheetViews>
  <sheetFormatPr defaultRowHeight="18.75" x14ac:dyDescent="0.4"/>
  <cols>
    <col min="3" max="3" width="16" customWidth="1"/>
    <col min="4" max="4" width="21.5" customWidth="1"/>
    <col min="5" max="5" width="20.625" customWidth="1"/>
    <col min="6" max="6" width="19.25" customWidth="1"/>
    <col min="7" max="7" width="22.75" customWidth="1"/>
    <col min="8" max="8" width="21.625" customWidth="1"/>
    <col min="9" max="9" width="19.75" customWidth="1"/>
    <col min="10" max="10" width="25.5" customWidth="1"/>
  </cols>
  <sheetData>
    <row r="2" spans="2:10" ht="25.5" x14ac:dyDescent="0.4">
      <c r="B2" s="32" t="s">
        <v>36</v>
      </c>
    </row>
    <row r="4" spans="2:10" x14ac:dyDescent="0.4">
      <c r="B4" s="28" t="s">
        <v>37</v>
      </c>
      <c r="C4" s="15"/>
      <c r="D4" s="15"/>
      <c r="E4" s="15"/>
      <c r="F4" s="21"/>
    </row>
    <row r="5" spans="2:10" x14ac:dyDescent="0.4">
      <c r="B5" s="22"/>
      <c r="C5" s="29" t="s">
        <v>38</v>
      </c>
      <c r="D5" s="43">
        <v>0.1</v>
      </c>
      <c r="E5" s="44"/>
      <c r="F5" s="23"/>
    </row>
    <row r="6" spans="2:10" ht="64.5" customHeight="1" x14ac:dyDescent="0.4">
      <c r="B6" s="22"/>
      <c r="C6" s="30" t="s">
        <v>129</v>
      </c>
      <c r="D6" s="41"/>
      <c r="E6" s="42"/>
      <c r="F6" s="23"/>
    </row>
    <row r="7" spans="2:10" x14ac:dyDescent="0.4">
      <c r="B7" s="24"/>
      <c r="C7" s="17"/>
      <c r="D7" s="17"/>
      <c r="E7" s="17"/>
      <c r="F7" s="25"/>
    </row>
    <row r="8" spans="2:10" s="31" customFormat="1" ht="19.5" thickBot="1" x14ac:dyDescent="0.45"/>
    <row r="9" spans="2:10" s="16" customFormat="1" x14ac:dyDescent="0.4"/>
    <row r="10" spans="2:10" s="26" customFormat="1" x14ac:dyDescent="0.4">
      <c r="B10" s="34" t="s">
        <v>39</v>
      </c>
      <c r="C10" s="34" t="s">
        <v>40</v>
      </c>
      <c r="D10" s="34" t="s">
        <v>41</v>
      </c>
      <c r="E10" s="34" t="s">
        <v>42</v>
      </c>
      <c r="F10" s="34" t="s">
        <v>43</v>
      </c>
      <c r="G10" s="34" t="s">
        <v>45</v>
      </c>
      <c r="H10" s="34" t="s">
        <v>44</v>
      </c>
      <c r="I10" s="34" t="s">
        <v>105</v>
      </c>
      <c r="J10" s="34" t="s">
        <v>47</v>
      </c>
    </row>
    <row r="11" spans="2:10" s="26" customFormat="1" x14ac:dyDescent="0.4">
      <c r="B11" s="33">
        <f t="shared" ref="B11:B43" si="0">IF(C11 &lt;&gt; "",ROW()-ROW(B$10),"")</f>
        <v>1</v>
      </c>
      <c r="C11" s="35" t="s">
        <v>79</v>
      </c>
      <c r="D11" s="35" t="s">
        <v>80</v>
      </c>
      <c r="E11" s="35" t="s">
        <v>81</v>
      </c>
      <c r="F11" s="35" t="s">
        <v>82</v>
      </c>
      <c r="G11" s="35" t="s">
        <v>84</v>
      </c>
      <c r="H11" s="35" t="s">
        <v>85</v>
      </c>
      <c r="I11" s="35" t="s">
        <v>72</v>
      </c>
      <c r="J11" s="35" t="s">
        <v>112</v>
      </c>
    </row>
    <row r="12" spans="2:10" s="26" customFormat="1" x14ac:dyDescent="0.4">
      <c r="B12" s="33">
        <f t="shared" si="0"/>
        <v>2</v>
      </c>
      <c r="C12" s="35" t="s">
        <v>86</v>
      </c>
      <c r="D12" s="35" t="s">
        <v>87</v>
      </c>
      <c r="E12" s="35" t="s">
        <v>88</v>
      </c>
      <c r="F12" s="35" t="s">
        <v>100</v>
      </c>
      <c r="G12" s="35" t="s">
        <v>89</v>
      </c>
      <c r="H12" s="35" t="s">
        <v>90</v>
      </c>
      <c r="I12" s="35" t="s">
        <v>74</v>
      </c>
      <c r="J12" s="35" t="s">
        <v>113</v>
      </c>
    </row>
    <row r="13" spans="2:10" s="26" customFormat="1" x14ac:dyDescent="0.4">
      <c r="B13" s="33">
        <f t="shared" si="0"/>
        <v>3</v>
      </c>
      <c r="C13" s="35" t="s">
        <v>91</v>
      </c>
      <c r="D13" s="35" t="s">
        <v>92</v>
      </c>
      <c r="E13" s="35" t="s">
        <v>93</v>
      </c>
      <c r="F13" s="36" t="s">
        <v>94</v>
      </c>
      <c r="G13" s="35" t="s">
        <v>83</v>
      </c>
      <c r="H13" s="35" t="s">
        <v>95</v>
      </c>
      <c r="I13" s="35" t="s">
        <v>71</v>
      </c>
      <c r="J13" s="35" t="s">
        <v>114</v>
      </c>
    </row>
    <row r="14" spans="2:10" s="26" customFormat="1" x14ac:dyDescent="0.4">
      <c r="B14" s="33">
        <f t="shared" si="0"/>
        <v>4</v>
      </c>
      <c r="C14" s="35" t="s">
        <v>96</v>
      </c>
      <c r="D14" s="35" t="s">
        <v>108</v>
      </c>
      <c r="E14" s="35" t="s">
        <v>97</v>
      </c>
      <c r="F14" s="35"/>
      <c r="G14" s="35" t="s">
        <v>83</v>
      </c>
      <c r="H14" s="35" t="s">
        <v>109</v>
      </c>
      <c r="I14" s="35"/>
      <c r="J14" s="35"/>
    </row>
    <row r="15" spans="2:10" s="26" customFormat="1" x14ac:dyDescent="0.4">
      <c r="B15" s="33">
        <f t="shared" si="0"/>
        <v>5</v>
      </c>
      <c r="C15" s="35" t="s">
        <v>118</v>
      </c>
      <c r="D15" s="35" t="s">
        <v>119</v>
      </c>
      <c r="E15" s="35" t="s">
        <v>120</v>
      </c>
      <c r="F15" s="35" t="s">
        <v>121</v>
      </c>
      <c r="G15" s="35" t="s">
        <v>122</v>
      </c>
      <c r="H15" s="35" t="s">
        <v>123</v>
      </c>
      <c r="I15" s="35" t="s">
        <v>124</v>
      </c>
      <c r="J15" s="35"/>
    </row>
    <row r="16" spans="2:10" s="26" customFormat="1" x14ac:dyDescent="0.4">
      <c r="B16" s="33" t="str">
        <f t="shared" si="0"/>
        <v/>
      </c>
      <c r="C16" s="35"/>
      <c r="D16" s="35"/>
      <c r="E16" s="35"/>
      <c r="F16" s="35"/>
      <c r="G16" s="35"/>
      <c r="H16" s="35"/>
      <c r="I16" s="35"/>
      <c r="J16" s="35"/>
    </row>
    <row r="17" spans="2:10" s="26" customFormat="1" x14ac:dyDescent="0.4">
      <c r="B17" s="33" t="str">
        <f t="shared" si="0"/>
        <v/>
      </c>
      <c r="C17" s="35"/>
      <c r="D17" s="35"/>
      <c r="E17" s="35"/>
      <c r="F17" s="35"/>
      <c r="G17" s="35"/>
      <c r="H17" s="35"/>
      <c r="I17" s="35"/>
      <c r="J17" s="35"/>
    </row>
    <row r="18" spans="2:10" s="26" customFormat="1" x14ac:dyDescent="0.4">
      <c r="B18" s="33" t="str">
        <f t="shared" si="0"/>
        <v/>
      </c>
      <c r="C18" s="35"/>
      <c r="D18" s="35"/>
      <c r="E18" s="35"/>
      <c r="F18" s="35"/>
      <c r="G18" s="35"/>
      <c r="H18" s="35"/>
      <c r="I18" s="35"/>
      <c r="J18" s="35"/>
    </row>
    <row r="19" spans="2:10" s="26" customFormat="1" x14ac:dyDescent="0.4">
      <c r="B19" s="33" t="str">
        <f t="shared" si="0"/>
        <v/>
      </c>
      <c r="C19" s="35"/>
      <c r="D19" s="35"/>
      <c r="E19" s="35"/>
      <c r="F19" s="35"/>
      <c r="G19" s="35"/>
      <c r="H19" s="35"/>
      <c r="I19" s="35"/>
      <c r="J19" s="35"/>
    </row>
    <row r="20" spans="2:10" s="26" customFormat="1" x14ac:dyDescent="0.4">
      <c r="B20" s="33" t="str">
        <f t="shared" si="0"/>
        <v/>
      </c>
      <c r="C20" s="35"/>
      <c r="D20" s="35"/>
      <c r="E20" s="35"/>
      <c r="F20" s="35"/>
      <c r="G20" s="35"/>
      <c r="H20" s="35"/>
      <c r="I20" s="35"/>
      <c r="J20" s="35"/>
    </row>
    <row r="21" spans="2:10" s="26" customFormat="1" x14ac:dyDescent="0.4">
      <c r="B21" s="33" t="str">
        <f t="shared" si="0"/>
        <v/>
      </c>
      <c r="C21" s="35"/>
      <c r="D21" s="35"/>
      <c r="E21" s="35"/>
      <c r="F21" s="35"/>
      <c r="G21" s="35"/>
      <c r="H21" s="35"/>
      <c r="I21" s="35"/>
      <c r="J21" s="35"/>
    </row>
    <row r="22" spans="2:10" s="26" customFormat="1" x14ac:dyDescent="0.4">
      <c r="B22" s="33" t="str">
        <f t="shared" si="0"/>
        <v/>
      </c>
      <c r="C22" s="35"/>
      <c r="D22" s="35"/>
      <c r="E22" s="35"/>
      <c r="F22" s="35"/>
      <c r="G22" s="35"/>
      <c r="H22" s="35"/>
      <c r="I22" s="35"/>
      <c r="J22" s="35"/>
    </row>
    <row r="23" spans="2:10" s="26" customFormat="1" x14ac:dyDescent="0.4">
      <c r="B23" s="33" t="str">
        <f t="shared" si="0"/>
        <v/>
      </c>
      <c r="C23" s="35"/>
      <c r="D23" s="35"/>
      <c r="E23" s="35"/>
      <c r="F23" s="35"/>
      <c r="G23" s="35"/>
      <c r="H23" s="35"/>
      <c r="I23" s="35"/>
      <c r="J23" s="35"/>
    </row>
    <row r="24" spans="2:10" s="26" customFormat="1" x14ac:dyDescent="0.4">
      <c r="B24" s="33" t="str">
        <f t="shared" si="0"/>
        <v/>
      </c>
      <c r="C24" s="35"/>
      <c r="D24" s="35"/>
      <c r="E24" s="35"/>
      <c r="F24" s="35"/>
      <c r="G24" s="35"/>
      <c r="H24" s="35"/>
      <c r="I24" s="35"/>
      <c r="J24" s="35"/>
    </row>
    <row r="25" spans="2:10" s="26" customFormat="1" x14ac:dyDescent="0.4">
      <c r="B25" s="33" t="str">
        <f t="shared" si="0"/>
        <v/>
      </c>
      <c r="C25" s="35"/>
      <c r="D25" s="35"/>
      <c r="E25" s="35"/>
      <c r="F25" s="35"/>
      <c r="G25" s="35"/>
      <c r="H25" s="35"/>
      <c r="I25" s="35"/>
      <c r="J25" s="35"/>
    </row>
    <row r="26" spans="2:10" s="26" customFormat="1" x14ac:dyDescent="0.4">
      <c r="B26" s="33" t="str">
        <f t="shared" si="0"/>
        <v/>
      </c>
      <c r="C26" s="35"/>
      <c r="D26" s="35"/>
      <c r="E26" s="35"/>
      <c r="F26" s="35"/>
      <c r="G26" s="35"/>
      <c r="H26" s="35"/>
      <c r="I26" s="35"/>
      <c r="J26" s="35"/>
    </row>
    <row r="27" spans="2:10" s="26" customFormat="1" x14ac:dyDescent="0.4">
      <c r="B27" s="33" t="str">
        <f t="shared" si="0"/>
        <v/>
      </c>
      <c r="C27" s="35"/>
      <c r="D27" s="35"/>
      <c r="E27" s="35"/>
      <c r="F27" s="35"/>
      <c r="G27" s="35"/>
      <c r="H27" s="35"/>
      <c r="I27" s="35"/>
      <c r="J27" s="35"/>
    </row>
    <row r="28" spans="2:10" s="26" customFormat="1" x14ac:dyDescent="0.4">
      <c r="B28" s="33" t="str">
        <f t="shared" si="0"/>
        <v/>
      </c>
      <c r="C28" s="35"/>
      <c r="D28" s="35"/>
      <c r="E28" s="35"/>
      <c r="F28" s="35"/>
      <c r="G28" s="35"/>
      <c r="H28" s="35"/>
      <c r="I28" s="35"/>
      <c r="J28" s="35"/>
    </row>
    <row r="29" spans="2:10" s="26" customFormat="1" x14ac:dyDescent="0.4">
      <c r="B29" s="33" t="str">
        <f t="shared" si="0"/>
        <v/>
      </c>
      <c r="C29" s="35"/>
      <c r="D29" s="35"/>
      <c r="E29" s="35"/>
      <c r="F29" s="35"/>
      <c r="G29" s="35"/>
      <c r="H29" s="35"/>
      <c r="I29" s="35"/>
      <c r="J29" s="35"/>
    </row>
    <row r="30" spans="2:10" s="26" customFormat="1" x14ac:dyDescent="0.4">
      <c r="B30" s="33" t="str">
        <f t="shared" si="0"/>
        <v/>
      </c>
      <c r="C30" s="35"/>
      <c r="D30" s="35"/>
      <c r="E30" s="35"/>
      <c r="F30" s="35"/>
      <c r="G30" s="35"/>
      <c r="H30" s="35"/>
      <c r="I30" s="35"/>
      <c r="J30" s="35"/>
    </row>
    <row r="31" spans="2:10" s="26" customFormat="1" x14ac:dyDescent="0.4">
      <c r="B31" s="33" t="str">
        <f t="shared" si="0"/>
        <v/>
      </c>
      <c r="C31" s="35"/>
      <c r="D31" s="35"/>
      <c r="E31" s="35"/>
      <c r="F31" s="35"/>
      <c r="G31" s="35"/>
      <c r="H31" s="35"/>
      <c r="I31" s="35"/>
      <c r="J31" s="35"/>
    </row>
    <row r="32" spans="2:10" s="26" customFormat="1" x14ac:dyDescent="0.4">
      <c r="B32" s="33" t="str">
        <f t="shared" si="0"/>
        <v/>
      </c>
      <c r="C32" s="35"/>
      <c r="D32" s="35"/>
      <c r="E32" s="35"/>
      <c r="F32" s="35"/>
      <c r="G32" s="35"/>
      <c r="H32" s="35"/>
      <c r="I32" s="35"/>
      <c r="J32" s="35"/>
    </row>
    <row r="33" spans="2:10" s="26" customFormat="1" x14ac:dyDescent="0.4">
      <c r="B33" s="33" t="str">
        <f t="shared" si="0"/>
        <v/>
      </c>
      <c r="C33" s="35"/>
      <c r="D33" s="35"/>
      <c r="E33" s="35"/>
      <c r="F33" s="35"/>
      <c r="G33" s="35"/>
      <c r="H33" s="35"/>
      <c r="I33" s="35"/>
      <c r="J33" s="35"/>
    </row>
    <row r="34" spans="2:10" s="26" customFormat="1" x14ac:dyDescent="0.4">
      <c r="B34" s="33" t="str">
        <f t="shared" si="0"/>
        <v/>
      </c>
      <c r="C34" s="35"/>
      <c r="D34" s="35"/>
      <c r="E34" s="35"/>
      <c r="F34" s="35"/>
      <c r="G34" s="35"/>
      <c r="H34" s="35"/>
      <c r="I34" s="35"/>
      <c r="J34" s="35"/>
    </row>
    <row r="35" spans="2:10" s="26" customFormat="1" x14ac:dyDescent="0.4">
      <c r="B35" s="26" t="str">
        <f t="shared" si="0"/>
        <v/>
      </c>
    </row>
    <row r="36" spans="2:10" s="26" customFormat="1" x14ac:dyDescent="0.4">
      <c r="B36" s="26" t="str">
        <f t="shared" si="0"/>
        <v/>
      </c>
    </row>
    <row r="37" spans="2:10" s="26" customFormat="1" x14ac:dyDescent="0.4">
      <c r="B37" s="26" t="str">
        <f t="shared" si="0"/>
        <v/>
      </c>
    </row>
    <row r="38" spans="2:10" s="26" customFormat="1" x14ac:dyDescent="0.4">
      <c r="B38" s="26" t="str">
        <f t="shared" si="0"/>
        <v/>
      </c>
    </row>
    <row r="39" spans="2:10" s="26" customFormat="1" x14ac:dyDescent="0.4">
      <c r="B39" s="26" t="str">
        <f t="shared" si="0"/>
        <v/>
      </c>
    </row>
    <row r="40" spans="2:10" s="26" customFormat="1" x14ac:dyDescent="0.4">
      <c r="B40" s="26" t="str">
        <f t="shared" si="0"/>
        <v/>
      </c>
    </row>
    <row r="41" spans="2:10" s="26" customFormat="1" x14ac:dyDescent="0.4">
      <c r="B41" s="26" t="str">
        <f t="shared" si="0"/>
        <v/>
      </c>
    </row>
    <row r="42" spans="2:10" s="26" customFormat="1" x14ac:dyDescent="0.4">
      <c r="B42" s="26" t="str">
        <f t="shared" si="0"/>
        <v/>
      </c>
    </row>
    <row r="43" spans="2:10" s="26" customFormat="1" x14ac:dyDescent="0.4">
      <c r="B43" s="26" t="str">
        <f t="shared" si="0"/>
        <v/>
      </c>
    </row>
    <row r="44" spans="2:10" s="26" customFormat="1" x14ac:dyDescent="0.4"/>
    <row r="45" spans="2:10" s="26" customFormat="1" x14ac:dyDescent="0.4"/>
    <row r="46" spans="2:10" s="26" customFormat="1" x14ac:dyDescent="0.4"/>
    <row r="47" spans="2:10" s="26" customFormat="1" x14ac:dyDescent="0.4"/>
    <row r="48" spans="2:10" s="26" customFormat="1" x14ac:dyDescent="0.4"/>
    <row r="49" s="26" customFormat="1" x14ac:dyDescent="0.4"/>
    <row r="50" s="26" customFormat="1" x14ac:dyDescent="0.4"/>
    <row r="51" s="26" customFormat="1" x14ac:dyDescent="0.4"/>
    <row r="52" s="26" customFormat="1" x14ac:dyDescent="0.4"/>
    <row r="53" s="26" customFormat="1" x14ac:dyDescent="0.4"/>
    <row r="54" s="26" customFormat="1" x14ac:dyDescent="0.4"/>
    <row r="55" s="26" customFormat="1" x14ac:dyDescent="0.4"/>
    <row r="56" s="26" customFormat="1" x14ac:dyDescent="0.4"/>
    <row r="57" s="26" customFormat="1" x14ac:dyDescent="0.4"/>
    <row r="58" s="26" customFormat="1" x14ac:dyDescent="0.4"/>
    <row r="59" s="26" customFormat="1" x14ac:dyDescent="0.4"/>
    <row r="60" s="26" customFormat="1" x14ac:dyDescent="0.4"/>
    <row r="61" s="26" customFormat="1" x14ac:dyDescent="0.4"/>
    <row r="62" s="26" customFormat="1" x14ac:dyDescent="0.4"/>
    <row r="63" s="26" customFormat="1" x14ac:dyDescent="0.4"/>
    <row r="64" s="26" customFormat="1" x14ac:dyDescent="0.4"/>
    <row r="65" s="26" customFormat="1" x14ac:dyDescent="0.4"/>
    <row r="66" s="26" customFormat="1" x14ac:dyDescent="0.4"/>
    <row r="67" s="26" customFormat="1" x14ac:dyDescent="0.4"/>
    <row r="68" s="26" customFormat="1" x14ac:dyDescent="0.4"/>
    <row r="69" s="26" customFormat="1" x14ac:dyDescent="0.4"/>
    <row r="70" s="26" customFormat="1" x14ac:dyDescent="0.4"/>
    <row r="71" s="26" customFormat="1" x14ac:dyDescent="0.4"/>
    <row r="72" s="26" customFormat="1" x14ac:dyDescent="0.4"/>
    <row r="73" s="26" customFormat="1" x14ac:dyDescent="0.4"/>
    <row r="74" s="26" customFormat="1" x14ac:dyDescent="0.4"/>
    <row r="75" s="26" customFormat="1" x14ac:dyDescent="0.4"/>
    <row r="76" s="26" customFormat="1" x14ac:dyDescent="0.4"/>
    <row r="77" s="26" customFormat="1" x14ac:dyDescent="0.4"/>
    <row r="78" s="26" customFormat="1" x14ac:dyDescent="0.4"/>
    <row r="79" s="26" customFormat="1" x14ac:dyDescent="0.4"/>
    <row r="80" s="26" customFormat="1" x14ac:dyDescent="0.4"/>
    <row r="81" s="26" customFormat="1" x14ac:dyDescent="0.4"/>
    <row r="82" s="26" customFormat="1" x14ac:dyDescent="0.4"/>
    <row r="83" s="26" customFormat="1" x14ac:dyDescent="0.4"/>
    <row r="84" s="26" customFormat="1" x14ac:dyDescent="0.4"/>
    <row r="85" s="26" customFormat="1" x14ac:dyDescent="0.4"/>
    <row r="86" s="26" customFormat="1" x14ac:dyDescent="0.4"/>
    <row r="87" s="26" customFormat="1" x14ac:dyDescent="0.4"/>
    <row r="88" s="26" customFormat="1" x14ac:dyDescent="0.4"/>
    <row r="89" s="26" customFormat="1" x14ac:dyDescent="0.4"/>
    <row r="90" s="26" customFormat="1" x14ac:dyDescent="0.4"/>
    <row r="91" s="26" customFormat="1" x14ac:dyDescent="0.4"/>
    <row r="92" s="26" customFormat="1" x14ac:dyDescent="0.4"/>
    <row r="93" s="26" customFormat="1" x14ac:dyDescent="0.4"/>
    <row r="94" s="26" customFormat="1" x14ac:dyDescent="0.4"/>
    <row r="95" s="26" customFormat="1" x14ac:dyDescent="0.4"/>
    <row r="96" s="26" customFormat="1" x14ac:dyDescent="0.4"/>
    <row r="97" s="26" customFormat="1" x14ac:dyDescent="0.4"/>
    <row r="98" s="26" customFormat="1" x14ac:dyDescent="0.4"/>
    <row r="99" s="26" customFormat="1" x14ac:dyDescent="0.4"/>
    <row r="100" s="26" customFormat="1" x14ac:dyDescent="0.4"/>
    <row r="101" s="26" customFormat="1" x14ac:dyDescent="0.4"/>
    <row r="102" s="26" customFormat="1" x14ac:dyDescent="0.4"/>
    <row r="103" s="26" customFormat="1" x14ac:dyDescent="0.4"/>
    <row r="104" s="26" customFormat="1" x14ac:dyDescent="0.4"/>
    <row r="105" s="26" customFormat="1" x14ac:dyDescent="0.4"/>
    <row r="106" s="26" customFormat="1" x14ac:dyDescent="0.4"/>
    <row r="107" s="26" customFormat="1" x14ac:dyDescent="0.4"/>
    <row r="108" s="26" customFormat="1" x14ac:dyDescent="0.4"/>
    <row r="109" s="26" customFormat="1" x14ac:dyDescent="0.4"/>
    <row r="110" s="26" customFormat="1" x14ac:dyDescent="0.4"/>
    <row r="111" s="26" customFormat="1" x14ac:dyDescent="0.4"/>
    <row r="112" s="26" customFormat="1" x14ac:dyDescent="0.4"/>
    <row r="113" s="26" customFormat="1" x14ac:dyDescent="0.4"/>
    <row r="114" s="26" customFormat="1" x14ac:dyDescent="0.4"/>
    <row r="115" s="26" customFormat="1" x14ac:dyDescent="0.4"/>
    <row r="116" s="26" customFormat="1" x14ac:dyDescent="0.4"/>
    <row r="117" s="26" customFormat="1" x14ac:dyDescent="0.4"/>
    <row r="118" s="26" customFormat="1" x14ac:dyDescent="0.4"/>
    <row r="119" s="26" customFormat="1" x14ac:dyDescent="0.4"/>
    <row r="120" s="26" customFormat="1" x14ac:dyDescent="0.4"/>
    <row r="121" s="26" customFormat="1" x14ac:dyDescent="0.4"/>
    <row r="122" s="26" customFormat="1" x14ac:dyDescent="0.4"/>
    <row r="123" s="26" customFormat="1" x14ac:dyDescent="0.4"/>
    <row r="124" s="26" customFormat="1" x14ac:dyDescent="0.4"/>
    <row r="125" s="26" customFormat="1" x14ac:dyDescent="0.4"/>
    <row r="126" s="26" customFormat="1" x14ac:dyDescent="0.4"/>
    <row r="127" s="26" customFormat="1" x14ac:dyDescent="0.4"/>
    <row r="128" s="26" customFormat="1" x14ac:dyDescent="0.4"/>
    <row r="129" s="26" customFormat="1" x14ac:dyDescent="0.4"/>
    <row r="130" s="26" customFormat="1" x14ac:dyDescent="0.4"/>
    <row r="131" s="26" customFormat="1" x14ac:dyDescent="0.4"/>
    <row r="132" s="26" customFormat="1" x14ac:dyDescent="0.4"/>
    <row r="133" s="26" customFormat="1" x14ac:dyDescent="0.4"/>
    <row r="134" s="26" customFormat="1" x14ac:dyDescent="0.4"/>
    <row r="135" s="26" customFormat="1" x14ac:dyDescent="0.4"/>
    <row r="136" s="26" customFormat="1" x14ac:dyDescent="0.4"/>
    <row r="137" s="26" customFormat="1" x14ac:dyDescent="0.4"/>
    <row r="138" s="26" customFormat="1" x14ac:dyDescent="0.4"/>
    <row r="139" s="26" customFormat="1" x14ac:dyDescent="0.4"/>
    <row r="140" s="26" customFormat="1" x14ac:dyDescent="0.4"/>
    <row r="141" s="26" customFormat="1" x14ac:dyDescent="0.4"/>
    <row r="142" s="26" customFormat="1" x14ac:dyDescent="0.4"/>
    <row r="143" s="26" customFormat="1" x14ac:dyDescent="0.4"/>
    <row r="144" s="26" customFormat="1" x14ac:dyDescent="0.4"/>
    <row r="145" s="26" customFormat="1" x14ac:dyDescent="0.4"/>
    <row r="146" s="26" customFormat="1" x14ac:dyDescent="0.4"/>
    <row r="147" s="26" customFormat="1" x14ac:dyDescent="0.4"/>
    <row r="148" s="26" customFormat="1" x14ac:dyDescent="0.4"/>
    <row r="149" s="26" customFormat="1" x14ac:dyDescent="0.4"/>
    <row r="150" s="26" customFormat="1" x14ac:dyDescent="0.4"/>
    <row r="151" s="26" customFormat="1" x14ac:dyDescent="0.4"/>
    <row r="152" s="26" customFormat="1" x14ac:dyDescent="0.4"/>
    <row r="153" s="26" customFormat="1" x14ac:dyDescent="0.4"/>
    <row r="154" s="26" customFormat="1" x14ac:dyDescent="0.4"/>
    <row r="155" s="26" customFormat="1" x14ac:dyDescent="0.4"/>
    <row r="156" s="26" customFormat="1" x14ac:dyDescent="0.4"/>
    <row r="157" s="26" customFormat="1" x14ac:dyDescent="0.4"/>
    <row r="158" s="26" customFormat="1" x14ac:dyDescent="0.4"/>
    <row r="159" s="26" customFormat="1" x14ac:dyDescent="0.4"/>
    <row r="160" s="26" customFormat="1" x14ac:dyDescent="0.4"/>
    <row r="161" s="26" customFormat="1" x14ac:dyDescent="0.4"/>
    <row r="162" s="26" customFormat="1" x14ac:dyDescent="0.4"/>
    <row r="163" s="26" customFormat="1" x14ac:dyDescent="0.4"/>
    <row r="164" s="26" customFormat="1" x14ac:dyDescent="0.4"/>
    <row r="165" s="26" customFormat="1" x14ac:dyDescent="0.4"/>
    <row r="166" s="26" customFormat="1" x14ac:dyDescent="0.4"/>
    <row r="167" s="26" customFormat="1" x14ac:dyDescent="0.4"/>
    <row r="168" s="26" customFormat="1" x14ac:dyDescent="0.4"/>
    <row r="169" s="26" customFormat="1" x14ac:dyDescent="0.4"/>
    <row r="170" s="26" customFormat="1" x14ac:dyDescent="0.4"/>
    <row r="171" s="26" customFormat="1" x14ac:dyDescent="0.4"/>
    <row r="172" s="26" customFormat="1" x14ac:dyDescent="0.4"/>
    <row r="173" s="26" customFormat="1" x14ac:dyDescent="0.4"/>
    <row r="174" s="26" customFormat="1" x14ac:dyDescent="0.4"/>
    <row r="175" s="26" customFormat="1" x14ac:dyDescent="0.4"/>
    <row r="176" s="26" customFormat="1" x14ac:dyDescent="0.4"/>
    <row r="177" s="26" customFormat="1" x14ac:dyDescent="0.4"/>
    <row r="178" s="26" customFormat="1" x14ac:dyDescent="0.4"/>
    <row r="179" s="26" customFormat="1" x14ac:dyDescent="0.4"/>
    <row r="180" s="26" customFormat="1" x14ac:dyDescent="0.4"/>
    <row r="181" s="26" customFormat="1" x14ac:dyDescent="0.4"/>
    <row r="182" s="26" customFormat="1" x14ac:dyDescent="0.4"/>
    <row r="183" s="26" customFormat="1" x14ac:dyDescent="0.4"/>
    <row r="184" s="26" customFormat="1" x14ac:dyDescent="0.4"/>
    <row r="185" s="26" customFormat="1" x14ac:dyDescent="0.4"/>
    <row r="186" s="26" customFormat="1" x14ac:dyDescent="0.4"/>
    <row r="187" s="26" customFormat="1" x14ac:dyDescent="0.4"/>
    <row r="188" s="26" customFormat="1" x14ac:dyDescent="0.4"/>
    <row r="189" s="26" customFormat="1" x14ac:dyDescent="0.4"/>
    <row r="190" s="26" customFormat="1" x14ac:dyDescent="0.4"/>
    <row r="191" s="26" customFormat="1" x14ac:dyDescent="0.4"/>
    <row r="192" s="26" customFormat="1" x14ac:dyDescent="0.4"/>
    <row r="193" s="26" customFormat="1" x14ac:dyDescent="0.4"/>
    <row r="194" s="26" customFormat="1" x14ac:dyDescent="0.4"/>
    <row r="195" s="26" customFormat="1" x14ac:dyDescent="0.4"/>
    <row r="196" s="26" customFormat="1" x14ac:dyDescent="0.4"/>
    <row r="197" s="26" customFormat="1" x14ac:dyDescent="0.4"/>
    <row r="198" s="26" customFormat="1" x14ac:dyDescent="0.4"/>
    <row r="199" s="26" customFormat="1" x14ac:dyDescent="0.4"/>
    <row r="200" s="26" customFormat="1" x14ac:dyDescent="0.4"/>
    <row r="201" s="26" customFormat="1" x14ac:dyDescent="0.4"/>
    <row r="202" s="26" customFormat="1" x14ac:dyDescent="0.4"/>
    <row r="203" s="26" customFormat="1" x14ac:dyDescent="0.4"/>
    <row r="204" s="26" customFormat="1" x14ac:dyDescent="0.4"/>
    <row r="205" s="26" customFormat="1" x14ac:dyDescent="0.4"/>
    <row r="206" s="26" customFormat="1" x14ac:dyDescent="0.4"/>
    <row r="207" s="26" customFormat="1" x14ac:dyDescent="0.4"/>
    <row r="208" s="26" customFormat="1" x14ac:dyDescent="0.4"/>
    <row r="209" s="26" customFormat="1" x14ac:dyDescent="0.4"/>
    <row r="210" s="26" customFormat="1" x14ac:dyDescent="0.4"/>
    <row r="211" s="26" customFormat="1" x14ac:dyDescent="0.4"/>
    <row r="212" s="26" customFormat="1" x14ac:dyDescent="0.4"/>
    <row r="213" s="26" customFormat="1" x14ac:dyDescent="0.4"/>
    <row r="214" s="26" customFormat="1" x14ac:dyDescent="0.4"/>
    <row r="215" s="26" customFormat="1" x14ac:dyDescent="0.4"/>
    <row r="216" s="26" customFormat="1" x14ac:dyDescent="0.4"/>
    <row r="217" s="26" customFormat="1" x14ac:dyDescent="0.4"/>
    <row r="218" s="26" customFormat="1" x14ac:dyDescent="0.4"/>
    <row r="219" s="26" customFormat="1" x14ac:dyDescent="0.4"/>
    <row r="220" s="26" customFormat="1" x14ac:dyDescent="0.4"/>
    <row r="221" s="26" customFormat="1" x14ac:dyDescent="0.4"/>
    <row r="222" s="26" customFormat="1" x14ac:dyDescent="0.4"/>
    <row r="223" s="26" customFormat="1" x14ac:dyDescent="0.4"/>
    <row r="224" s="26" customFormat="1" x14ac:dyDescent="0.4"/>
    <row r="225" s="26" customFormat="1" x14ac:dyDescent="0.4"/>
    <row r="226" s="26" customFormat="1" x14ac:dyDescent="0.4"/>
    <row r="227" s="26" customFormat="1" x14ac:dyDescent="0.4"/>
    <row r="228" s="26" customFormat="1" x14ac:dyDescent="0.4"/>
    <row r="229" s="26" customFormat="1" x14ac:dyDescent="0.4"/>
    <row r="230" s="26" customFormat="1" x14ac:dyDescent="0.4"/>
    <row r="231" s="26" customFormat="1" x14ac:dyDescent="0.4"/>
    <row r="232" s="26" customFormat="1" x14ac:dyDescent="0.4"/>
    <row r="233" s="26" customFormat="1" x14ac:dyDescent="0.4"/>
    <row r="234" s="26" customFormat="1" x14ac:dyDescent="0.4"/>
    <row r="235" s="26" customFormat="1" x14ac:dyDescent="0.4"/>
    <row r="236" s="26" customFormat="1" x14ac:dyDescent="0.4"/>
    <row r="237" s="26" customFormat="1" x14ac:dyDescent="0.4"/>
    <row r="238" s="26" customFormat="1" x14ac:dyDescent="0.4"/>
    <row r="239" s="26" customFormat="1" x14ac:dyDescent="0.4"/>
    <row r="240" s="26" customFormat="1" x14ac:dyDescent="0.4"/>
    <row r="241" s="26" customFormat="1" x14ac:dyDescent="0.4"/>
    <row r="242" s="26" customFormat="1" x14ac:dyDescent="0.4"/>
    <row r="243" s="26" customFormat="1" x14ac:dyDescent="0.4"/>
    <row r="244" s="26" customFormat="1" x14ac:dyDescent="0.4"/>
    <row r="245" s="26" customFormat="1" x14ac:dyDescent="0.4"/>
    <row r="246" s="26" customFormat="1" x14ac:dyDescent="0.4"/>
    <row r="247" s="26" customFormat="1" x14ac:dyDescent="0.4"/>
    <row r="248" s="26" customFormat="1" x14ac:dyDescent="0.4"/>
    <row r="249" s="26" customFormat="1" x14ac:dyDescent="0.4"/>
    <row r="250" s="26" customFormat="1" x14ac:dyDescent="0.4"/>
    <row r="251" s="26" customFormat="1" x14ac:dyDescent="0.4"/>
    <row r="252" s="26" customFormat="1" x14ac:dyDescent="0.4"/>
    <row r="253" s="26" customFormat="1" x14ac:dyDescent="0.4"/>
    <row r="254" s="26" customFormat="1" x14ac:dyDescent="0.4"/>
    <row r="255" s="26" customFormat="1" x14ac:dyDescent="0.4"/>
    <row r="256" s="26" customFormat="1" x14ac:dyDescent="0.4"/>
    <row r="257" s="26" customFormat="1" x14ac:dyDescent="0.4"/>
    <row r="258" s="26" customFormat="1" x14ac:dyDescent="0.4"/>
    <row r="259" s="26" customFormat="1" x14ac:dyDescent="0.4"/>
    <row r="260" s="26" customFormat="1" x14ac:dyDescent="0.4"/>
    <row r="261" s="26" customFormat="1" x14ac:dyDescent="0.4"/>
    <row r="262" s="26" customFormat="1" x14ac:dyDescent="0.4"/>
    <row r="263" s="26" customFormat="1" x14ac:dyDescent="0.4"/>
    <row r="264" s="26" customFormat="1" x14ac:dyDescent="0.4"/>
    <row r="265" s="26" customFormat="1" x14ac:dyDescent="0.4"/>
    <row r="266" s="26" customFormat="1" x14ac:dyDescent="0.4"/>
    <row r="267" s="26" customFormat="1" x14ac:dyDescent="0.4"/>
    <row r="268" s="26" customFormat="1" x14ac:dyDescent="0.4"/>
    <row r="269" s="26" customFormat="1" x14ac:dyDescent="0.4"/>
    <row r="270" s="26" customFormat="1" x14ac:dyDescent="0.4"/>
    <row r="271" s="26" customFormat="1" x14ac:dyDescent="0.4"/>
    <row r="272" s="26" customFormat="1" x14ac:dyDescent="0.4"/>
    <row r="273" s="26" customFormat="1" x14ac:dyDescent="0.4"/>
    <row r="274" s="26" customFormat="1" x14ac:dyDescent="0.4"/>
    <row r="275" s="26" customFormat="1" x14ac:dyDescent="0.4"/>
    <row r="276" s="26" customFormat="1" x14ac:dyDescent="0.4"/>
    <row r="277" s="26" customFormat="1" x14ac:dyDescent="0.4"/>
    <row r="278" s="26" customFormat="1" x14ac:dyDescent="0.4"/>
    <row r="279" s="26" customFormat="1" x14ac:dyDescent="0.4"/>
    <row r="280" s="26" customFormat="1" x14ac:dyDescent="0.4"/>
    <row r="281" s="26" customFormat="1" x14ac:dyDescent="0.4"/>
    <row r="282" s="26" customFormat="1" x14ac:dyDescent="0.4"/>
    <row r="283" s="26" customFormat="1" x14ac:dyDescent="0.4"/>
    <row r="284" s="26" customFormat="1" x14ac:dyDescent="0.4"/>
    <row r="285" s="26" customFormat="1" x14ac:dyDescent="0.4"/>
    <row r="286" s="26" customFormat="1" x14ac:dyDescent="0.4"/>
    <row r="287" s="26" customFormat="1" x14ac:dyDescent="0.4"/>
    <row r="288" s="26" customFormat="1" x14ac:dyDescent="0.4"/>
    <row r="289" s="26" customFormat="1" x14ac:dyDescent="0.4"/>
    <row r="290" s="26" customFormat="1" x14ac:dyDescent="0.4"/>
    <row r="291" s="26" customFormat="1" x14ac:dyDescent="0.4"/>
    <row r="292" s="26" customFormat="1" x14ac:dyDescent="0.4"/>
    <row r="293" s="26" customFormat="1" x14ac:dyDescent="0.4"/>
    <row r="294" s="26" customFormat="1" x14ac:dyDescent="0.4"/>
    <row r="295" s="26" customFormat="1" x14ac:dyDescent="0.4"/>
    <row r="296" s="26" customFormat="1" x14ac:dyDescent="0.4"/>
    <row r="297" s="26" customFormat="1" x14ac:dyDescent="0.4"/>
    <row r="298" s="26" customFormat="1" x14ac:dyDescent="0.4"/>
    <row r="299" s="26" customFormat="1" x14ac:dyDescent="0.4"/>
    <row r="300" s="26" customFormat="1" x14ac:dyDescent="0.4"/>
    <row r="301" s="26" customFormat="1" x14ac:dyDescent="0.4"/>
    <row r="302" s="26" customFormat="1" x14ac:dyDescent="0.4"/>
    <row r="303" s="26" customFormat="1" x14ac:dyDescent="0.4"/>
    <row r="304" s="26" customFormat="1" x14ac:dyDescent="0.4"/>
    <row r="305" s="26" customFormat="1" x14ac:dyDescent="0.4"/>
    <row r="306" s="26" customFormat="1" x14ac:dyDescent="0.4"/>
    <row r="307" s="26" customFormat="1" x14ac:dyDescent="0.4"/>
    <row r="308" s="26" customFormat="1" x14ac:dyDescent="0.4"/>
    <row r="309" s="26" customFormat="1" x14ac:dyDescent="0.4"/>
    <row r="310" s="26" customFormat="1" x14ac:dyDescent="0.4"/>
    <row r="311" s="26" customFormat="1" x14ac:dyDescent="0.4"/>
    <row r="312" s="26" customFormat="1" x14ac:dyDescent="0.4"/>
    <row r="313" s="26" customFormat="1" x14ac:dyDescent="0.4"/>
    <row r="314" s="26" customFormat="1" x14ac:dyDescent="0.4"/>
    <row r="315" s="26" customFormat="1" x14ac:dyDescent="0.4"/>
    <row r="316" s="26" customFormat="1" x14ac:dyDescent="0.4"/>
    <row r="317" s="26" customFormat="1" x14ac:dyDescent="0.4"/>
    <row r="318" s="26" customFormat="1" x14ac:dyDescent="0.4"/>
    <row r="319" s="26" customFormat="1" x14ac:dyDescent="0.4"/>
    <row r="320" s="26" customFormat="1" x14ac:dyDescent="0.4"/>
    <row r="321" s="26" customFormat="1" x14ac:dyDescent="0.4"/>
    <row r="322" s="26" customFormat="1" x14ac:dyDescent="0.4"/>
    <row r="323" s="26" customFormat="1" x14ac:dyDescent="0.4"/>
    <row r="324" s="26" customFormat="1" x14ac:dyDescent="0.4"/>
    <row r="325" s="26" customFormat="1" x14ac:dyDescent="0.4"/>
    <row r="326" s="26" customFormat="1" x14ac:dyDescent="0.4"/>
    <row r="327" s="26" customFormat="1" x14ac:dyDescent="0.4"/>
    <row r="328" s="26" customFormat="1" x14ac:dyDescent="0.4"/>
    <row r="329" s="26" customFormat="1" x14ac:dyDescent="0.4"/>
    <row r="330" s="26" customFormat="1" x14ac:dyDescent="0.4"/>
    <row r="331" s="26" customFormat="1" x14ac:dyDescent="0.4"/>
    <row r="332" s="26" customFormat="1" x14ac:dyDescent="0.4"/>
    <row r="333" s="26" customFormat="1" x14ac:dyDescent="0.4"/>
    <row r="334" s="26" customFormat="1" x14ac:dyDescent="0.4"/>
    <row r="335" s="26" customFormat="1" x14ac:dyDescent="0.4"/>
    <row r="336" s="26" customFormat="1" x14ac:dyDescent="0.4"/>
    <row r="337" s="26" customFormat="1" x14ac:dyDescent="0.4"/>
    <row r="338" s="26" customFormat="1" x14ac:dyDescent="0.4"/>
    <row r="339" s="26" customFormat="1" x14ac:dyDescent="0.4"/>
    <row r="340" s="26" customFormat="1" x14ac:dyDescent="0.4"/>
    <row r="341" s="26" customFormat="1" x14ac:dyDescent="0.4"/>
    <row r="342" s="26" customFormat="1" x14ac:dyDescent="0.4"/>
    <row r="343" s="26" customFormat="1" x14ac:dyDescent="0.4"/>
    <row r="344" s="26" customFormat="1" x14ac:dyDescent="0.4"/>
    <row r="345" s="26" customFormat="1" x14ac:dyDescent="0.4"/>
    <row r="346" s="26" customFormat="1" x14ac:dyDescent="0.4"/>
    <row r="347" s="26" customFormat="1" x14ac:dyDescent="0.4"/>
    <row r="348" s="26" customFormat="1" x14ac:dyDescent="0.4"/>
    <row r="349" s="26" customFormat="1" x14ac:dyDescent="0.4"/>
    <row r="350" s="26" customFormat="1" x14ac:dyDescent="0.4"/>
    <row r="351" s="26" customFormat="1" x14ac:dyDescent="0.4"/>
    <row r="352" s="26" customFormat="1" x14ac:dyDescent="0.4"/>
    <row r="353" s="26" customFormat="1" x14ac:dyDescent="0.4"/>
    <row r="354" s="26" customFormat="1" x14ac:dyDescent="0.4"/>
    <row r="355" s="26" customFormat="1" x14ac:dyDescent="0.4"/>
    <row r="356" s="26" customFormat="1" x14ac:dyDescent="0.4"/>
    <row r="357" s="26" customFormat="1" x14ac:dyDescent="0.4"/>
    <row r="358" s="26" customFormat="1" x14ac:dyDescent="0.4"/>
    <row r="359" s="26" customFormat="1" x14ac:dyDescent="0.4"/>
    <row r="360" s="26" customFormat="1" x14ac:dyDescent="0.4"/>
    <row r="361" s="26" customFormat="1" x14ac:dyDescent="0.4"/>
    <row r="362" s="26" customFormat="1" x14ac:dyDescent="0.4"/>
    <row r="363" s="26" customFormat="1" x14ac:dyDescent="0.4"/>
    <row r="364" s="26" customFormat="1" x14ac:dyDescent="0.4"/>
    <row r="365" s="26" customFormat="1" x14ac:dyDescent="0.4"/>
    <row r="366" s="26" customFormat="1" x14ac:dyDescent="0.4"/>
    <row r="367" s="26" customFormat="1" x14ac:dyDescent="0.4"/>
    <row r="368" s="26" customFormat="1" x14ac:dyDescent="0.4"/>
    <row r="369" s="26" customFormat="1" x14ac:dyDescent="0.4"/>
    <row r="370" s="26" customFormat="1" x14ac:dyDescent="0.4"/>
    <row r="371" s="26" customFormat="1" x14ac:dyDescent="0.4"/>
    <row r="372" s="26" customFormat="1" x14ac:dyDescent="0.4"/>
    <row r="373" s="26" customFormat="1" x14ac:dyDescent="0.4"/>
    <row r="374" s="26" customFormat="1" x14ac:dyDescent="0.4"/>
    <row r="375" s="26" customFormat="1" x14ac:dyDescent="0.4"/>
    <row r="376" s="26" customFormat="1" x14ac:dyDescent="0.4"/>
    <row r="377" s="26" customFormat="1" x14ac:dyDescent="0.4"/>
    <row r="378" s="26" customFormat="1" x14ac:dyDescent="0.4"/>
    <row r="379" s="26" customFormat="1" x14ac:dyDescent="0.4"/>
    <row r="380" s="26" customFormat="1" x14ac:dyDescent="0.4"/>
    <row r="381" s="26" customFormat="1" x14ac:dyDescent="0.4"/>
    <row r="382" s="26" customFormat="1" x14ac:dyDescent="0.4"/>
    <row r="383" s="26" customFormat="1" x14ac:dyDescent="0.4"/>
    <row r="384" s="26" customFormat="1" x14ac:dyDescent="0.4"/>
    <row r="385" s="26" customFormat="1" x14ac:dyDescent="0.4"/>
    <row r="386" s="26" customFormat="1" x14ac:dyDescent="0.4"/>
    <row r="387" s="26" customFormat="1" x14ac:dyDescent="0.4"/>
    <row r="388" s="26" customFormat="1" x14ac:dyDescent="0.4"/>
    <row r="389" s="26" customFormat="1" x14ac:dyDescent="0.4"/>
    <row r="390" s="26" customFormat="1" x14ac:dyDescent="0.4"/>
    <row r="391" s="26" customFormat="1" x14ac:dyDescent="0.4"/>
    <row r="392" s="26" customFormat="1" x14ac:dyDescent="0.4"/>
    <row r="393" s="26" customFormat="1" x14ac:dyDescent="0.4"/>
    <row r="394" s="26" customFormat="1" x14ac:dyDescent="0.4"/>
    <row r="395" s="26" customFormat="1" x14ac:dyDescent="0.4"/>
    <row r="396" s="26" customFormat="1" x14ac:dyDescent="0.4"/>
    <row r="397" s="26" customFormat="1" x14ac:dyDescent="0.4"/>
    <row r="398" s="26" customFormat="1" x14ac:dyDescent="0.4"/>
    <row r="399" s="26" customFormat="1" x14ac:dyDescent="0.4"/>
    <row r="400" s="26" customFormat="1" x14ac:dyDescent="0.4"/>
    <row r="401" s="26" customFormat="1" x14ac:dyDescent="0.4"/>
    <row r="402" s="26" customFormat="1" x14ac:dyDescent="0.4"/>
    <row r="403" s="26" customFormat="1" x14ac:dyDescent="0.4"/>
    <row r="404" s="26" customFormat="1" x14ac:dyDescent="0.4"/>
    <row r="405" s="26" customFormat="1" x14ac:dyDescent="0.4"/>
    <row r="406" s="26" customFormat="1" x14ac:dyDescent="0.4"/>
    <row r="407" s="26" customFormat="1" x14ac:dyDescent="0.4"/>
    <row r="408" s="26" customFormat="1" x14ac:dyDescent="0.4"/>
    <row r="409" s="26" customFormat="1" x14ac:dyDescent="0.4"/>
    <row r="410" s="26" customFormat="1" x14ac:dyDescent="0.4"/>
    <row r="411" s="26" customFormat="1" x14ac:dyDescent="0.4"/>
    <row r="412" s="26" customFormat="1" x14ac:dyDescent="0.4"/>
    <row r="413" s="26" customFormat="1" x14ac:dyDescent="0.4"/>
    <row r="414" s="26" customFormat="1" x14ac:dyDescent="0.4"/>
    <row r="415" s="26" customFormat="1" x14ac:dyDescent="0.4"/>
    <row r="416" s="26" customFormat="1" x14ac:dyDescent="0.4"/>
    <row r="417" s="26" customFormat="1" x14ac:dyDescent="0.4"/>
    <row r="418" s="26" customFormat="1" x14ac:dyDescent="0.4"/>
    <row r="419" s="26" customFormat="1" x14ac:dyDescent="0.4"/>
    <row r="420" s="26" customFormat="1" x14ac:dyDescent="0.4"/>
    <row r="421" s="26" customFormat="1" x14ac:dyDescent="0.4"/>
    <row r="422" s="26" customFormat="1" x14ac:dyDescent="0.4"/>
    <row r="423" s="26" customFormat="1" x14ac:dyDescent="0.4"/>
    <row r="424" s="26" customFormat="1" x14ac:dyDescent="0.4"/>
    <row r="425" s="26" customFormat="1" x14ac:dyDescent="0.4"/>
    <row r="426" s="26" customFormat="1" x14ac:dyDescent="0.4"/>
    <row r="427" s="26" customFormat="1" x14ac:dyDescent="0.4"/>
    <row r="428" s="26" customFormat="1" x14ac:dyDescent="0.4"/>
    <row r="429" s="26" customFormat="1" x14ac:dyDescent="0.4"/>
    <row r="430" s="26" customFormat="1" x14ac:dyDescent="0.4"/>
    <row r="431" s="26" customFormat="1" x14ac:dyDescent="0.4"/>
    <row r="432" s="26" customFormat="1" x14ac:dyDescent="0.4"/>
    <row r="433" s="26" customFormat="1" x14ac:dyDescent="0.4"/>
    <row r="434" s="26" customFormat="1" x14ac:dyDescent="0.4"/>
    <row r="435" s="26" customFormat="1" x14ac:dyDescent="0.4"/>
    <row r="436" s="26" customFormat="1" x14ac:dyDescent="0.4"/>
    <row r="437" s="26" customFormat="1" x14ac:dyDescent="0.4"/>
    <row r="438" s="26" customFormat="1" x14ac:dyDescent="0.4"/>
    <row r="439" s="26" customFormat="1" x14ac:dyDescent="0.4"/>
    <row r="440" s="26" customFormat="1" x14ac:dyDescent="0.4"/>
    <row r="441" s="26" customFormat="1" x14ac:dyDescent="0.4"/>
    <row r="442" s="26" customFormat="1" x14ac:dyDescent="0.4"/>
    <row r="443" s="26" customFormat="1" x14ac:dyDescent="0.4"/>
    <row r="444" s="26" customFormat="1" x14ac:dyDescent="0.4"/>
    <row r="445" s="26" customFormat="1" x14ac:dyDescent="0.4"/>
    <row r="446" s="26" customFormat="1" x14ac:dyDescent="0.4"/>
    <row r="447" s="26" customFormat="1" x14ac:dyDescent="0.4"/>
    <row r="448" s="26" customFormat="1" x14ac:dyDescent="0.4"/>
    <row r="449" s="26" customFormat="1" x14ac:dyDescent="0.4"/>
    <row r="450" s="26" customFormat="1" x14ac:dyDescent="0.4"/>
    <row r="451" s="26" customFormat="1" x14ac:dyDescent="0.4"/>
    <row r="452" s="26" customFormat="1" x14ac:dyDescent="0.4"/>
    <row r="453" s="26" customFormat="1" x14ac:dyDescent="0.4"/>
    <row r="454" s="26" customFormat="1" x14ac:dyDescent="0.4"/>
    <row r="455" s="26" customFormat="1" x14ac:dyDescent="0.4"/>
    <row r="456" s="26" customFormat="1" x14ac:dyDescent="0.4"/>
    <row r="457" s="26" customFormat="1" x14ac:dyDescent="0.4"/>
    <row r="458" s="26" customFormat="1" x14ac:dyDescent="0.4"/>
    <row r="459" s="26" customFormat="1" x14ac:dyDescent="0.4"/>
    <row r="460" s="26" customFormat="1" x14ac:dyDescent="0.4"/>
    <row r="461" s="26" customFormat="1" x14ac:dyDescent="0.4"/>
    <row r="462" s="26" customFormat="1" x14ac:dyDescent="0.4"/>
    <row r="463" s="26" customFormat="1" x14ac:dyDescent="0.4"/>
    <row r="464" s="26" customFormat="1" x14ac:dyDescent="0.4"/>
    <row r="465" s="26" customFormat="1" x14ac:dyDescent="0.4"/>
    <row r="466" s="26" customFormat="1" x14ac:dyDescent="0.4"/>
    <row r="467" s="26" customFormat="1" x14ac:dyDescent="0.4"/>
    <row r="468" s="26" customFormat="1" x14ac:dyDescent="0.4"/>
    <row r="469" s="26" customFormat="1" x14ac:dyDescent="0.4"/>
    <row r="470" s="26" customFormat="1" x14ac:dyDescent="0.4"/>
    <row r="471" s="26" customFormat="1" x14ac:dyDescent="0.4"/>
    <row r="472" s="26" customFormat="1" x14ac:dyDescent="0.4"/>
    <row r="473" s="26" customFormat="1" x14ac:dyDescent="0.4"/>
    <row r="474" s="26" customFormat="1" x14ac:dyDescent="0.4"/>
    <row r="475" s="26" customFormat="1" x14ac:dyDescent="0.4"/>
    <row r="476" s="26" customFormat="1" x14ac:dyDescent="0.4"/>
    <row r="477" s="26" customFormat="1" x14ac:dyDescent="0.4"/>
    <row r="478" s="26" customFormat="1" x14ac:dyDescent="0.4"/>
    <row r="479" s="26" customFormat="1" x14ac:dyDescent="0.4"/>
    <row r="480" s="26" customFormat="1" x14ac:dyDescent="0.4"/>
    <row r="481" s="26" customFormat="1" x14ac:dyDescent="0.4"/>
    <row r="482" s="26" customFormat="1" x14ac:dyDescent="0.4"/>
    <row r="483" s="26" customFormat="1" x14ac:dyDescent="0.4"/>
    <row r="484" s="26" customFormat="1" x14ac:dyDescent="0.4"/>
    <row r="485" s="26" customFormat="1" x14ac:dyDescent="0.4"/>
    <row r="486" s="26" customFormat="1" x14ac:dyDescent="0.4"/>
    <row r="487" s="26" customFormat="1" x14ac:dyDescent="0.4"/>
    <row r="488" s="26" customFormat="1" x14ac:dyDescent="0.4"/>
    <row r="489" s="26" customFormat="1" x14ac:dyDescent="0.4"/>
    <row r="490" s="26" customFormat="1" x14ac:dyDescent="0.4"/>
    <row r="491" s="26" customFormat="1" x14ac:dyDescent="0.4"/>
    <row r="492" s="26" customFormat="1" x14ac:dyDescent="0.4"/>
    <row r="493" s="26" customFormat="1" x14ac:dyDescent="0.4"/>
    <row r="494" s="26" customFormat="1" x14ac:dyDescent="0.4"/>
    <row r="495" s="26" customFormat="1" x14ac:dyDescent="0.4"/>
    <row r="496" s="26" customFormat="1" x14ac:dyDescent="0.4"/>
    <row r="497" s="26" customFormat="1" x14ac:dyDescent="0.4"/>
    <row r="498" s="26" customFormat="1" x14ac:dyDescent="0.4"/>
    <row r="499" s="26" customFormat="1" x14ac:dyDescent="0.4"/>
    <row r="500" s="26" customFormat="1" x14ac:dyDescent="0.4"/>
    <row r="501" s="26" customFormat="1" x14ac:dyDescent="0.4"/>
    <row r="502" s="26" customFormat="1" x14ac:dyDescent="0.4"/>
    <row r="503" s="26" customFormat="1" x14ac:dyDescent="0.4"/>
    <row r="504" s="26" customFormat="1" x14ac:dyDescent="0.4"/>
    <row r="505" s="26" customFormat="1" x14ac:dyDescent="0.4"/>
    <row r="506" s="26" customFormat="1" x14ac:dyDescent="0.4"/>
    <row r="507" s="26" customFormat="1" x14ac:dyDescent="0.4"/>
    <row r="508" s="26" customFormat="1" x14ac:dyDescent="0.4"/>
    <row r="509" s="26" customFormat="1" x14ac:dyDescent="0.4"/>
    <row r="510" s="26" customFormat="1" x14ac:dyDescent="0.4"/>
    <row r="511" s="26" customFormat="1" x14ac:dyDescent="0.4"/>
    <row r="512" s="26" customFormat="1" x14ac:dyDescent="0.4"/>
    <row r="513" s="26" customFormat="1" x14ac:dyDescent="0.4"/>
    <row r="514" s="26" customFormat="1" x14ac:dyDescent="0.4"/>
    <row r="515" s="26" customFormat="1" x14ac:dyDescent="0.4"/>
    <row r="516" s="26" customFormat="1" x14ac:dyDescent="0.4"/>
    <row r="517" s="26" customFormat="1" x14ac:dyDescent="0.4"/>
    <row r="518" s="26" customFormat="1" x14ac:dyDescent="0.4"/>
    <row r="519" s="26" customFormat="1" x14ac:dyDescent="0.4"/>
    <row r="520" s="26" customFormat="1" x14ac:dyDescent="0.4"/>
    <row r="521" s="26" customFormat="1" x14ac:dyDescent="0.4"/>
    <row r="522" s="26" customFormat="1" x14ac:dyDescent="0.4"/>
    <row r="523" s="26" customFormat="1" x14ac:dyDescent="0.4"/>
    <row r="524" s="26" customFormat="1" x14ac:dyDescent="0.4"/>
    <row r="525" s="26" customFormat="1" x14ac:dyDescent="0.4"/>
    <row r="526" s="26" customFormat="1" x14ac:dyDescent="0.4"/>
    <row r="527" s="26" customFormat="1" x14ac:dyDescent="0.4"/>
    <row r="528" s="26" customFormat="1" x14ac:dyDescent="0.4"/>
    <row r="529" s="26" customFormat="1" x14ac:dyDescent="0.4"/>
    <row r="530" s="26" customFormat="1" x14ac:dyDescent="0.4"/>
    <row r="531" s="26" customFormat="1" x14ac:dyDescent="0.4"/>
    <row r="532" s="26" customFormat="1" x14ac:dyDescent="0.4"/>
    <row r="533" s="26" customFormat="1" x14ac:dyDescent="0.4"/>
    <row r="534" s="26" customFormat="1" x14ac:dyDescent="0.4"/>
    <row r="535" s="26" customFormat="1" x14ac:dyDescent="0.4"/>
    <row r="536" s="26" customFormat="1" x14ac:dyDescent="0.4"/>
    <row r="537" s="26" customFormat="1" x14ac:dyDescent="0.4"/>
    <row r="538" s="26" customFormat="1" x14ac:dyDescent="0.4"/>
    <row r="539" s="26" customFormat="1" x14ac:dyDescent="0.4"/>
    <row r="540" s="26" customFormat="1" x14ac:dyDescent="0.4"/>
    <row r="541" s="26" customFormat="1" x14ac:dyDescent="0.4"/>
    <row r="542" s="26" customFormat="1" x14ac:dyDescent="0.4"/>
    <row r="543" s="26" customFormat="1" x14ac:dyDescent="0.4"/>
    <row r="544" s="26" customFormat="1" x14ac:dyDescent="0.4"/>
    <row r="545" s="26" customFormat="1" x14ac:dyDescent="0.4"/>
    <row r="546" s="26" customFormat="1" x14ac:dyDescent="0.4"/>
    <row r="547" s="26" customFormat="1" x14ac:dyDescent="0.4"/>
    <row r="548" s="26" customFormat="1" x14ac:dyDescent="0.4"/>
    <row r="549" s="26" customFormat="1" x14ac:dyDescent="0.4"/>
    <row r="550" s="26" customFormat="1" x14ac:dyDescent="0.4"/>
    <row r="551" s="26" customFormat="1" x14ac:dyDescent="0.4"/>
    <row r="552" s="26" customFormat="1" x14ac:dyDescent="0.4"/>
    <row r="553" s="26" customFormat="1" x14ac:dyDescent="0.4"/>
    <row r="554" s="26" customFormat="1" x14ac:dyDescent="0.4"/>
    <row r="555" s="26" customFormat="1" x14ac:dyDescent="0.4"/>
    <row r="556" s="26" customFormat="1" x14ac:dyDescent="0.4"/>
    <row r="557" s="26" customFormat="1" x14ac:dyDescent="0.4"/>
    <row r="558" s="26" customFormat="1" x14ac:dyDescent="0.4"/>
    <row r="559" s="26" customFormat="1" x14ac:dyDescent="0.4"/>
    <row r="560" s="26" customFormat="1" x14ac:dyDescent="0.4"/>
    <row r="561" s="26" customFormat="1" x14ac:dyDescent="0.4"/>
    <row r="562" s="26" customFormat="1" x14ac:dyDescent="0.4"/>
    <row r="563" s="26" customFormat="1" x14ac:dyDescent="0.4"/>
    <row r="564" s="26" customFormat="1" x14ac:dyDescent="0.4"/>
    <row r="565" s="26" customFormat="1" x14ac:dyDescent="0.4"/>
    <row r="566" s="26" customFormat="1" x14ac:dyDescent="0.4"/>
    <row r="567" s="26" customFormat="1" x14ac:dyDescent="0.4"/>
    <row r="568" s="26" customFormat="1" x14ac:dyDescent="0.4"/>
    <row r="569" s="26" customFormat="1" x14ac:dyDescent="0.4"/>
    <row r="570" s="26" customFormat="1" x14ac:dyDescent="0.4"/>
    <row r="571" s="26" customFormat="1" x14ac:dyDescent="0.4"/>
    <row r="572" s="26" customFormat="1" x14ac:dyDescent="0.4"/>
    <row r="573" s="26" customFormat="1" x14ac:dyDescent="0.4"/>
    <row r="574" s="26" customFormat="1" x14ac:dyDescent="0.4"/>
    <row r="575" s="26" customFormat="1" x14ac:dyDescent="0.4"/>
    <row r="576" s="26" customFormat="1" x14ac:dyDescent="0.4"/>
    <row r="577" s="26" customFormat="1" x14ac:dyDescent="0.4"/>
    <row r="578" s="26" customFormat="1" x14ac:dyDescent="0.4"/>
    <row r="579" s="26" customFormat="1" x14ac:dyDescent="0.4"/>
    <row r="580" s="26" customFormat="1" x14ac:dyDescent="0.4"/>
    <row r="581" s="26" customFormat="1" x14ac:dyDescent="0.4"/>
    <row r="582" s="26" customFormat="1" x14ac:dyDescent="0.4"/>
    <row r="583" s="26" customFormat="1" x14ac:dyDescent="0.4"/>
    <row r="584" s="26" customFormat="1" x14ac:dyDescent="0.4"/>
    <row r="585" s="26" customFormat="1" x14ac:dyDescent="0.4"/>
    <row r="586" s="26" customFormat="1" x14ac:dyDescent="0.4"/>
    <row r="587" s="26" customFormat="1" x14ac:dyDescent="0.4"/>
    <row r="588" s="26" customFormat="1" x14ac:dyDescent="0.4"/>
    <row r="589" s="26" customFormat="1" x14ac:dyDescent="0.4"/>
    <row r="590" s="26" customFormat="1" x14ac:dyDescent="0.4"/>
    <row r="591" s="26" customFormat="1" x14ac:dyDescent="0.4"/>
    <row r="592" s="26" customFormat="1" x14ac:dyDescent="0.4"/>
    <row r="593" s="26" customFormat="1" x14ac:dyDescent="0.4"/>
    <row r="594" s="26" customFormat="1" x14ac:dyDescent="0.4"/>
    <row r="595" s="26" customFormat="1" x14ac:dyDescent="0.4"/>
    <row r="596" s="26" customFormat="1" x14ac:dyDescent="0.4"/>
    <row r="597" s="26" customFormat="1" x14ac:dyDescent="0.4"/>
    <row r="598" s="26" customFormat="1" x14ac:dyDescent="0.4"/>
    <row r="599" s="26" customFormat="1" x14ac:dyDescent="0.4"/>
    <row r="600" s="26" customFormat="1" x14ac:dyDescent="0.4"/>
    <row r="601" s="26" customFormat="1" x14ac:dyDescent="0.4"/>
    <row r="602" s="26" customFormat="1" x14ac:dyDescent="0.4"/>
    <row r="603" s="26" customFormat="1" x14ac:dyDescent="0.4"/>
    <row r="604" s="26" customFormat="1" x14ac:dyDescent="0.4"/>
    <row r="605" s="26" customFormat="1" x14ac:dyDescent="0.4"/>
    <row r="606" s="26" customFormat="1" x14ac:dyDescent="0.4"/>
    <row r="607" s="26" customFormat="1" x14ac:dyDescent="0.4"/>
    <row r="608" s="26" customFormat="1" x14ac:dyDescent="0.4"/>
    <row r="609" s="26" customFormat="1" x14ac:dyDescent="0.4"/>
    <row r="610" s="26" customFormat="1" x14ac:dyDescent="0.4"/>
    <row r="611" s="26" customFormat="1" x14ac:dyDescent="0.4"/>
    <row r="612" s="26" customFormat="1" x14ac:dyDescent="0.4"/>
    <row r="613" s="26" customFormat="1" x14ac:dyDescent="0.4"/>
    <row r="614" s="26" customFormat="1" x14ac:dyDescent="0.4"/>
    <row r="615" s="26" customFormat="1" x14ac:dyDescent="0.4"/>
    <row r="616" s="26" customFormat="1" x14ac:dyDescent="0.4"/>
    <row r="617" s="26" customFormat="1" x14ac:dyDescent="0.4"/>
    <row r="618" s="26" customFormat="1" x14ac:dyDescent="0.4"/>
    <row r="619" s="26" customFormat="1" x14ac:dyDescent="0.4"/>
    <row r="620" s="26" customFormat="1" x14ac:dyDescent="0.4"/>
    <row r="621" s="26" customFormat="1" x14ac:dyDescent="0.4"/>
    <row r="622" s="26" customFormat="1" x14ac:dyDescent="0.4"/>
    <row r="623" s="26" customFormat="1" x14ac:dyDescent="0.4"/>
    <row r="624" s="26" customFormat="1" x14ac:dyDescent="0.4"/>
    <row r="625" s="26" customFormat="1" x14ac:dyDescent="0.4"/>
    <row r="626" s="26" customFormat="1" x14ac:dyDescent="0.4"/>
    <row r="627" s="26" customFormat="1" x14ac:dyDescent="0.4"/>
    <row r="628" s="26" customFormat="1" x14ac:dyDescent="0.4"/>
    <row r="629" s="26" customFormat="1" x14ac:dyDescent="0.4"/>
    <row r="630" s="26" customFormat="1" x14ac:dyDescent="0.4"/>
    <row r="631" s="26" customFormat="1" x14ac:dyDescent="0.4"/>
    <row r="632" s="26" customFormat="1" x14ac:dyDescent="0.4"/>
    <row r="633" s="26" customFormat="1" x14ac:dyDescent="0.4"/>
    <row r="634" s="26" customFormat="1" x14ac:dyDescent="0.4"/>
    <row r="635" s="26" customFormat="1" x14ac:dyDescent="0.4"/>
    <row r="636" s="26" customFormat="1" x14ac:dyDescent="0.4"/>
    <row r="637" s="26" customFormat="1" x14ac:dyDescent="0.4"/>
    <row r="638" s="26" customFormat="1" x14ac:dyDescent="0.4"/>
    <row r="639" s="26" customFormat="1" x14ac:dyDescent="0.4"/>
    <row r="640" s="26" customFormat="1" x14ac:dyDescent="0.4"/>
    <row r="641" s="26" customFormat="1" x14ac:dyDescent="0.4"/>
    <row r="642" s="26" customFormat="1" x14ac:dyDescent="0.4"/>
    <row r="643" s="26" customFormat="1" x14ac:dyDescent="0.4"/>
    <row r="644" s="26" customFormat="1" x14ac:dyDescent="0.4"/>
    <row r="645" s="26" customFormat="1" x14ac:dyDescent="0.4"/>
    <row r="646" s="26" customFormat="1" x14ac:dyDescent="0.4"/>
    <row r="647" s="26" customFormat="1" x14ac:dyDescent="0.4"/>
    <row r="648" s="26" customFormat="1" x14ac:dyDescent="0.4"/>
    <row r="649" s="26" customFormat="1" x14ac:dyDescent="0.4"/>
    <row r="650" s="26" customFormat="1" x14ac:dyDescent="0.4"/>
    <row r="651" s="26" customFormat="1" x14ac:dyDescent="0.4"/>
    <row r="652" s="26" customFormat="1" x14ac:dyDescent="0.4"/>
    <row r="653" s="26" customFormat="1" x14ac:dyDescent="0.4"/>
    <row r="654" s="26" customFormat="1" x14ac:dyDescent="0.4"/>
    <row r="655" s="26" customFormat="1" x14ac:dyDescent="0.4"/>
    <row r="656" s="26" customFormat="1" x14ac:dyDescent="0.4"/>
    <row r="657" s="26" customFormat="1" x14ac:dyDescent="0.4"/>
    <row r="658" s="26" customFormat="1" x14ac:dyDescent="0.4"/>
    <row r="659" s="26" customFormat="1" x14ac:dyDescent="0.4"/>
    <row r="660" s="26" customFormat="1" x14ac:dyDescent="0.4"/>
    <row r="661" s="26" customFormat="1" x14ac:dyDescent="0.4"/>
    <row r="662" s="26" customFormat="1" x14ac:dyDescent="0.4"/>
    <row r="663" s="26" customFormat="1" x14ac:dyDescent="0.4"/>
    <row r="664" s="26" customFormat="1" x14ac:dyDescent="0.4"/>
    <row r="665" s="26" customFormat="1" x14ac:dyDescent="0.4"/>
    <row r="666" s="26" customFormat="1" x14ac:dyDescent="0.4"/>
    <row r="667" s="26" customFormat="1" x14ac:dyDescent="0.4"/>
    <row r="668" s="26" customFormat="1" x14ac:dyDescent="0.4"/>
    <row r="669" s="26" customFormat="1" x14ac:dyDescent="0.4"/>
    <row r="670" s="26" customFormat="1" x14ac:dyDescent="0.4"/>
    <row r="671" s="26" customFormat="1" x14ac:dyDescent="0.4"/>
    <row r="672" s="26" customFormat="1" x14ac:dyDescent="0.4"/>
    <row r="673" s="26" customFormat="1" x14ac:dyDescent="0.4"/>
    <row r="674" s="26" customFormat="1" x14ac:dyDescent="0.4"/>
    <row r="675" s="26" customFormat="1" x14ac:dyDescent="0.4"/>
    <row r="676" s="26" customFormat="1" x14ac:dyDescent="0.4"/>
    <row r="677" s="26" customFormat="1" x14ac:dyDescent="0.4"/>
    <row r="678" s="26" customFormat="1" x14ac:dyDescent="0.4"/>
    <row r="679" s="26" customFormat="1" x14ac:dyDescent="0.4"/>
    <row r="680" s="26" customFormat="1" x14ac:dyDescent="0.4"/>
    <row r="681" s="26" customFormat="1" x14ac:dyDescent="0.4"/>
    <row r="682" s="26" customFormat="1" x14ac:dyDescent="0.4"/>
    <row r="683" s="26" customFormat="1" x14ac:dyDescent="0.4"/>
    <row r="684" s="26" customFormat="1" x14ac:dyDescent="0.4"/>
    <row r="685" s="26" customFormat="1" x14ac:dyDescent="0.4"/>
    <row r="686" s="26" customFormat="1" x14ac:dyDescent="0.4"/>
    <row r="687" s="26" customFormat="1" x14ac:dyDescent="0.4"/>
    <row r="688" s="26" customFormat="1" x14ac:dyDescent="0.4"/>
    <row r="689" s="26" customFormat="1" x14ac:dyDescent="0.4"/>
    <row r="690" s="26" customFormat="1" x14ac:dyDescent="0.4"/>
    <row r="691" s="26" customFormat="1" x14ac:dyDescent="0.4"/>
    <row r="692" s="26" customFormat="1" x14ac:dyDescent="0.4"/>
    <row r="693" s="26" customFormat="1" x14ac:dyDescent="0.4"/>
    <row r="694" s="26" customFormat="1" x14ac:dyDescent="0.4"/>
    <row r="695" s="26" customFormat="1" x14ac:dyDescent="0.4"/>
    <row r="696" s="26" customFormat="1" x14ac:dyDescent="0.4"/>
    <row r="697" s="26" customFormat="1" x14ac:dyDescent="0.4"/>
    <row r="698" s="26" customFormat="1" x14ac:dyDescent="0.4"/>
    <row r="699" s="26" customFormat="1" x14ac:dyDescent="0.4"/>
    <row r="700" s="26" customFormat="1" x14ac:dyDescent="0.4"/>
    <row r="701" s="26" customFormat="1" x14ac:dyDescent="0.4"/>
    <row r="702" s="26" customFormat="1" x14ac:dyDescent="0.4"/>
    <row r="703" s="26" customFormat="1" x14ac:dyDescent="0.4"/>
    <row r="704" s="26" customFormat="1" x14ac:dyDescent="0.4"/>
    <row r="705" s="26" customFormat="1" x14ac:dyDescent="0.4"/>
    <row r="706" s="26" customFormat="1" x14ac:dyDescent="0.4"/>
    <row r="707" s="26" customFormat="1" x14ac:dyDescent="0.4"/>
    <row r="708" s="26" customFormat="1" x14ac:dyDescent="0.4"/>
    <row r="709" s="26" customFormat="1" x14ac:dyDescent="0.4"/>
    <row r="710" s="26" customFormat="1" x14ac:dyDescent="0.4"/>
    <row r="711" s="26" customFormat="1" x14ac:dyDescent="0.4"/>
    <row r="712" s="26" customFormat="1" x14ac:dyDescent="0.4"/>
    <row r="713" s="26" customFormat="1" x14ac:dyDescent="0.4"/>
    <row r="714" s="26" customFormat="1" x14ac:dyDescent="0.4"/>
    <row r="715" s="26" customFormat="1" x14ac:dyDescent="0.4"/>
    <row r="716" s="26" customFormat="1" x14ac:dyDescent="0.4"/>
    <row r="717" s="26" customFormat="1" x14ac:dyDescent="0.4"/>
    <row r="718" s="26" customFormat="1" x14ac:dyDescent="0.4"/>
    <row r="719" s="26" customFormat="1" x14ac:dyDescent="0.4"/>
    <row r="720" s="26" customFormat="1" x14ac:dyDescent="0.4"/>
    <row r="721" s="26" customFormat="1" x14ac:dyDescent="0.4"/>
    <row r="722" s="26" customFormat="1" x14ac:dyDescent="0.4"/>
    <row r="723" s="26" customFormat="1" x14ac:dyDescent="0.4"/>
    <row r="724" s="26" customFormat="1" x14ac:dyDescent="0.4"/>
    <row r="725" s="26" customFormat="1" x14ac:dyDescent="0.4"/>
    <row r="726" s="26" customFormat="1" x14ac:dyDescent="0.4"/>
    <row r="727" s="26" customFormat="1" x14ac:dyDescent="0.4"/>
    <row r="728" s="26" customFormat="1" x14ac:dyDescent="0.4"/>
    <row r="729" s="26" customFormat="1" x14ac:dyDescent="0.4"/>
    <row r="730" s="26" customFormat="1" x14ac:dyDescent="0.4"/>
    <row r="731" s="26" customFormat="1" x14ac:dyDescent="0.4"/>
    <row r="732" s="26" customFormat="1" x14ac:dyDescent="0.4"/>
    <row r="733" s="26" customFormat="1" x14ac:dyDescent="0.4"/>
    <row r="734" s="26" customFormat="1" x14ac:dyDescent="0.4"/>
    <row r="735" s="26" customFormat="1" x14ac:dyDescent="0.4"/>
    <row r="736" s="26" customFormat="1" x14ac:dyDescent="0.4"/>
    <row r="737" s="26" customFormat="1" x14ac:dyDescent="0.4"/>
    <row r="738" s="26" customFormat="1" x14ac:dyDescent="0.4"/>
    <row r="739" s="26" customFormat="1" x14ac:dyDescent="0.4"/>
    <row r="740" s="26" customFormat="1" x14ac:dyDescent="0.4"/>
    <row r="741" s="26" customFormat="1" x14ac:dyDescent="0.4"/>
    <row r="742" s="26" customFormat="1" x14ac:dyDescent="0.4"/>
    <row r="743" s="26" customFormat="1" x14ac:dyDescent="0.4"/>
    <row r="744" s="26" customFormat="1" x14ac:dyDescent="0.4"/>
    <row r="745" s="26" customFormat="1" x14ac:dyDescent="0.4"/>
    <row r="746" s="26" customFormat="1" x14ac:dyDescent="0.4"/>
    <row r="747" s="26" customFormat="1" x14ac:dyDescent="0.4"/>
    <row r="748" s="26" customFormat="1" x14ac:dyDescent="0.4"/>
    <row r="749" s="26" customFormat="1" x14ac:dyDescent="0.4"/>
    <row r="750" s="26" customFormat="1" x14ac:dyDescent="0.4"/>
    <row r="751" s="26" customFormat="1" x14ac:dyDescent="0.4"/>
    <row r="752" s="26" customFormat="1" x14ac:dyDescent="0.4"/>
    <row r="753" s="26" customFormat="1" x14ac:dyDescent="0.4"/>
    <row r="754" s="26" customFormat="1" x14ac:dyDescent="0.4"/>
    <row r="755" s="26" customFormat="1" x14ac:dyDescent="0.4"/>
    <row r="756" s="26" customFormat="1" x14ac:dyDescent="0.4"/>
    <row r="757" s="26" customFormat="1" x14ac:dyDescent="0.4"/>
    <row r="758" s="26" customFormat="1" x14ac:dyDescent="0.4"/>
    <row r="759" s="26" customFormat="1" x14ac:dyDescent="0.4"/>
    <row r="760" s="26" customFormat="1" x14ac:dyDescent="0.4"/>
    <row r="761" s="26" customFormat="1" x14ac:dyDescent="0.4"/>
    <row r="762" s="26" customFormat="1" x14ac:dyDescent="0.4"/>
    <row r="763" s="26" customFormat="1" x14ac:dyDescent="0.4"/>
    <row r="764" s="26" customFormat="1" x14ac:dyDescent="0.4"/>
    <row r="765" s="26" customFormat="1" x14ac:dyDescent="0.4"/>
    <row r="766" s="26" customFormat="1" x14ac:dyDescent="0.4"/>
    <row r="767" s="26" customFormat="1" x14ac:dyDescent="0.4"/>
    <row r="768" s="26" customFormat="1" x14ac:dyDescent="0.4"/>
    <row r="769" s="26" customFormat="1" x14ac:dyDescent="0.4"/>
    <row r="770" s="26" customFormat="1" x14ac:dyDescent="0.4"/>
    <row r="771" s="26" customFormat="1" x14ac:dyDescent="0.4"/>
    <row r="772" s="26" customFormat="1" x14ac:dyDescent="0.4"/>
    <row r="773" s="26" customFormat="1" x14ac:dyDescent="0.4"/>
    <row r="774" s="26" customFormat="1" x14ac:dyDescent="0.4"/>
    <row r="775" s="26" customFormat="1" x14ac:dyDescent="0.4"/>
    <row r="776" s="26" customFormat="1" x14ac:dyDescent="0.4"/>
    <row r="777" s="26" customFormat="1" x14ac:dyDescent="0.4"/>
    <row r="778" s="26" customFormat="1" x14ac:dyDescent="0.4"/>
    <row r="779" s="26" customFormat="1" x14ac:dyDescent="0.4"/>
    <row r="780" s="26" customFormat="1" x14ac:dyDescent="0.4"/>
    <row r="781" s="26" customFormat="1" x14ac:dyDescent="0.4"/>
    <row r="782" s="26" customFormat="1" x14ac:dyDescent="0.4"/>
    <row r="783" s="26" customFormat="1" x14ac:dyDescent="0.4"/>
    <row r="784" s="26" customFormat="1" x14ac:dyDescent="0.4"/>
    <row r="785" s="26" customFormat="1" x14ac:dyDescent="0.4"/>
    <row r="786" s="26" customFormat="1" x14ac:dyDescent="0.4"/>
    <row r="787" s="26" customFormat="1" x14ac:dyDescent="0.4"/>
    <row r="788" s="26" customFormat="1" x14ac:dyDescent="0.4"/>
    <row r="789" s="26" customFormat="1" x14ac:dyDescent="0.4"/>
    <row r="790" s="26" customFormat="1" x14ac:dyDescent="0.4"/>
    <row r="791" s="26" customFormat="1" x14ac:dyDescent="0.4"/>
    <row r="792" s="26" customFormat="1" x14ac:dyDescent="0.4"/>
    <row r="793" s="26" customFormat="1" x14ac:dyDescent="0.4"/>
    <row r="794" s="26" customFormat="1" x14ac:dyDescent="0.4"/>
    <row r="795" s="26" customFormat="1" x14ac:dyDescent="0.4"/>
    <row r="796" s="26" customFormat="1" x14ac:dyDescent="0.4"/>
    <row r="797" s="26" customFormat="1" x14ac:dyDescent="0.4"/>
    <row r="798" s="26" customFormat="1" x14ac:dyDescent="0.4"/>
    <row r="799" s="26" customFormat="1" x14ac:dyDescent="0.4"/>
    <row r="800" s="26" customFormat="1" x14ac:dyDescent="0.4"/>
    <row r="801" s="26" customFormat="1" x14ac:dyDescent="0.4"/>
    <row r="802" s="26" customFormat="1" x14ac:dyDescent="0.4"/>
    <row r="803" s="26" customFormat="1" x14ac:dyDescent="0.4"/>
    <row r="804" s="26" customFormat="1" x14ac:dyDescent="0.4"/>
    <row r="805" s="26" customFormat="1" x14ac:dyDescent="0.4"/>
    <row r="806" s="26" customFormat="1" x14ac:dyDescent="0.4"/>
    <row r="807" s="26" customFormat="1" x14ac:dyDescent="0.4"/>
    <row r="808" s="26" customFormat="1" x14ac:dyDescent="0.4"/>
    <row r="809" s="26" customFormat="1" x14ac:dyDescent="0.4"/>
    <row r="810" s="26" customFormat="1" x14ac:dyDescent="0.4"/>
    <row r="811" s="26" customFormat="1" x14ac:dyDescent="0.4"/>
    <row r="812" s="26" customFormat="1" x14ac:dyDescent="0.4"/>
    <row r="813" s="26" customFormat="1" x14ac:dyDescent="0.4"/>
    <row r="814" s="26" customFormat="1" x14ac:dyDescent="0.4"/>
    <row r="815" s="26" customFormat="1" x14ac:dyDescent="0.4"/>
    <row r="816" s="26" customFormat="1" x14ac:dyDescent="0.4"/>
    <row r="817" s="26" customFormat="1" x14ac:dyDescent="0.4"/>
    <row r="818" s="26" customFormat="1" x14ac:dyDescent="0.4"/>
    <row r="819" s="26" customFormat="1" x14ac:dyDescent="0.4"/>
    <row r="820" s="26" customFormat="1" x14ac:dyDescent="0.4"/>
    <row r="821" s="26" customFormat="1" x14ac:dyDescent="0.4"/>
    <row r="822" s="26" customFormat="1" x14ac:dyDescent="0.4"/>
    <row r="823" s="26" customFormat="1" x14ac:dyDescent="0.4"/>
    <row r="824" s="26" customFormat="1" x14ac:dyDescent="0.4"/>
    <row r="825" s="26" customFormat="1" x14ac:dyDescent="0.4"/>
    <row r="826" s="26" customFormat="1" x14ac:dyDescent="0.4"/>
    <row r="827" s="26" customFormat="1" x14ac:dyDescent="0.4"/>
    <row r="828" s="26" customFormat="1" x14ac:dyDescent="0.4"/>
    <row r="829" s="26" customFormat="1" x14ac:dyDescent="0.4"/>
    <row r="830" s="26" customFormat="1" x14ac:dyDescent="0.4"/>
    <row r="831" s="26" customFormat="1" x14ac:dyDescent="0.4"/>
    <row r="832" s="26" customFormat="1" x14ac:dyDescent="0.4"/>
    <row r="833" s="26" customFormat="1" x14ac:dyDescent="0.4"/>
    <row r="834" s="26" customFormat="1" x14ac:dyDescent="0.4"/>
    <row r="835" s="26" customFormat="1" x14ac:dyDescent="0.4"/>
    <row r="836" s="26" customFormat="1" x14ac:dyDescent="0.4"/>
    <row r="837" s="26" customFormat="1" x14ac:dyDescent="0.4"/>
    <row r="838" s="26" customFormat="1" x14ac:dyDescent="0.4"/>
    <row r="839" s="26" customFormat="1" x14ac:dyDescent="0.4"/>
    <row r="840" s="26" customFormat="1" x14ac:dyDescent="0.4"/>
    <row r="841" s="26" customFormat="1" x14ac:dyDescent="0.4"/>
    <row r="842" s="26" customFormat="1" x14ac:dyDescent="0.4"/>
    <row r="843" s="26" customFormat="1" x14ac:dyDescent="0.4"/>
    <row r="844" s="26" customFormat="1" x14ac:dyDescent="0.4"/>
    <row r="845" s="26" customFormat="1" x14ac:dyDescent="0.4"/>
    <row r="846" s="26" customFormat="1" x14ac:dyDescent="0.4"/>
    <row r="847" s="26" customFormat="1" x14ac:dyDescent="0.4"/>
    <row r="848" s="26" customFormat="1" x14ac:dyDescent="0.4"/>
    <row r="849" s="26" customFormat="1" x14ac:dyDescent="0.4"/>
    <row r="850" s="26" customFormat="1" x14ac:dyDescent="0.4"/>
    <row r="851" s="26" customFormat="1" x14ac:dyDescent="0.4"/>
    <row r="852" s="26" customFormat="1" x14ac:dyDescent="0.4"/>
    <row r="853" s="26" customFormat="1" x14ac:dyDescent="0.4"/>
    <row r="854" s="26" customFormat="1" x14ac:dyDescent="0.4"/>
    <row r="855" s="26" customFormat="1" x14ac:dyDescent="0.4"/>
    <row r="856" s="26" customFormat="1" x14ac:dyDescent="0.4"/>
    <row r="857" s="26" customFormat="1" x14ac:dyDescent="0.4"/>
    <row r="858" s="26" customFormat="1" x14ac:dyDescent="0.4"/>
    <row r="859" s="26" customFormat="1" x14ac:dyDescent="0.4"/>
    <row r="860" s="26" customFormat="1" x14ac:dyDescent="0.4"/>
    <row r="861" s="26" customFormat="1" x14ac:dyDescent="0.4"/>
    <row r="862" s="26" customFormat="1" x14ac:dyDescent="0.4"/>
    <row r="863" s="26" customFormat="1" x14ac:dyDescent="0.4"/>
    <row r="864" s="26" customFormat="1" x14ac:dyDescent="0.4"/>
    <row r="865" s="26" customFormat="1" x14ac:dyDescent="0.4"/>
    <row r="866" s="26" customFormat="1" x14ac:dyDescent="0.4"/>
    <row r="867" s="26" customFormat="1" x14ac:dyDescent="0.4"/>
    <row r="868" s="26" customFormat="1" x14ac:dyDescent="0.4"/>
    <row r="869" s="26" customFormat="1" x14ac:dyDescent="0.4"/>
    <row r="870" s="26" customFormat="1" x14ac:dyDescent="0.4"/>
    <row r="871" s="26" customFormat="1" x14ac:dyDescent="0.4"/>
    <row r="872" s="26" customFormat="1" x14ac:dyDescent="0.4"/>
    <row r="873" s="26" customFormat="1" x14ac:dyDescent="0.4"/>
    <row r="874" s="26" customFormat="1" x14ac:dyDescent="0.4"/>
    <row r="875" s="26" customFormat="1" x14ac:dyDescent="0.4"/>
    <row r="876" s="26" customFormat="1" x14ac:dyDescent="0.4"/>
    <row r="877" s="26" customFormat="1" x14ac:dyDescent="0.4"/>
    <row r="878" s="26" customFormat="1" x14ac:dyDescent="0.4"/>
    <row r="879" s="26" customFormat="1" x14ac:dyDescent="0.4"/>
    <row r="880" s="26" customFormat="1" x14ac:dyDescent="0.4"/>
    <row r="881" s="26" customFormat="1" x14ac:dyDescent="0.4"/>
    <row r="882" s="26" customFormat="1" x14ac:dyDescent="0.4"/>
    <row r="883" s="26" customFormat="1" x14ac:dyDescent="0.4"/>
    <row r="884" s="26" customFormat="1" x14ac:dyDescent="0.4"/>
    <row r="885" s="26" customFormat="1" x14ac:dyDescent="0.4"/>
    <row r="886" s="26" customFormat="1" x14ac:dyDescent="0.4"/>
    <row r="887" s="26" customFormat="1" x14ac:dyDescent="0.4"/>
    <row r="888" s="26" customFormat="1" x14ac:dyDescent="0.4"/>
    <row r="889" s="26" customFormat="1" x14ac:dyDescent="0.4"/>
    <row r="890" s="26" customFormat="1" x14ac:dyDescent="0.4"/>
    <row r="891" s="26" customFormat="1" x14ac:dyDescent="0.4"/>
    <row r="892" s="26" customFormat="1" x14ac:dyDescent="0.4"/>
    <row r="893" s="26" customFormat="1" x14ac:dyDescent="0.4"/>
    <row r="894" s="26" customFormat="1" x14ac:dyDescent="0.4"/>
    <row r="895" s="26" customFormat="1" x14ac:dyDescent="0.4"/>
    <row r="896" s="26" customFormat="1" x14ac:dyDescent="0.4"/>
    <row r="897" s="26" customFormat="1" x14ac:dyDescent="0.4"/>
    <row r="898" s="26" customFormat="1" x14ac:dyDescent="0.4"/>
    <row r="899" s="26" customFormat="1" x14ac:dyDescent="0.4"/>
    <row r="900" s="26" customFormat="1" x14ac:dyDescent="0.4"/>
    <row r="901" s="26" customFormat="1" x14ac:dyDescent="0.4"/>
    <row r="902" s="26" customFormat="1" x14ac:dyDescent="0.4"/>
    <row r="903" s="26" customFormat="1" x14ac:dyDescent="0.4"/>
    <row r="904" s="26" customFormat="1" x14ac:dyDescent="0.4"/>
    <row r="905" s="26" customFormat="1" x14ac:dyDescent="0.4"/>
    <row r="906" s="26" customFormat="1" x14ac:dyDescent="0.4"/>
    <row r="907" s="26" customFormat="1" x14ac:dyDescent="0.4"/>
    <row r="908" s="26" customFormat="1" x14ac:dyDescent="0.4"/>
    <row r="909" s="26" customFormat="1" x14ac:dyDescent="0.4"/>
    <row r="910" s="26" customFormat="1" x14ac:dyDescent="0.4"/>
    <row r="911" s="26" customFormat="1" x14ac:dyDescent="0.4"/>
    <row r="912" s="26" customFormat="1" x14ac:dyDescent="0.4"/>
    <row r="913" s="26" customFormat="1" x14ac:dyDescent="0.4"/>
    <row r="914" s="26" customFormat="1" x14ac:dyDescent="0.4"/>
    <row r="915" s="26" customFormat="1" x14ac:dyDescent="0.4"/>
    <row r="916" s="26" customFormat="1" x14ac:dyDescent="0.4"/>
    <row r="917" s="26" customFormat="1" x14ac:dyDescent="0.4"/>
    <row r="918" s="26" customFormat="1" x14ac:dyDescent="0.4"/>
    <row r="919" s="26" customFormat="1" x14ac:dyDescent="0.4"/>
    <row r="920" s="26" customFormat="1" x14ac:dyDescent="0.4"/>
    <row r="921" s="26" customFormat="1" x14ac:dyDescent="0.4"/>
    <row r="922" s="26" customFormat="1" x14ac:dyDescent="0.4"/>
    <row r="923" s="26" customFormat="1" x14ac:dyDescent="0.4"/>
    <row r="924" s="26" customFormat="1" x14ac:dyDescent="0.4"/>
    <row r="925" s="26" customFormat="1" x14ac:dyDescent="0.4"/>
    <row r="926" s="26" customFormat="1" x14ac:dyDescent="0.4"/>
    <row r="927" s="26" customFormat="1" x14ac:dyDescent="0.4"/>
    <row r="928" s="26" customFormat="1" x14ac:dyDescent="0.4"/>
    <row r="929" s="26" customFormat="1" x14ac:dyDescent="0.4"/>
    <row r="930" s="26" customFormat="1" x14ac:dyDescent="0.4"/>
    <row r="931" s="26" customFormat="1" x14ac:dyDescent="0.4"/>
    <row r="932" s="26" customFormat="1" x14ac:dyDescent="0.4"/>
    <row r="933" s="26" customFormat="1" x14ac:dyDescent="0.4"/>
    <row r="934" s="26" customFormat="1" x14ac:dyDescent="0.4"/>
    <row r="935" s="26" customFormat="1" x14ac:dyDescent="0.4"/>
    <row r="936" s="26" customFormat="1" x14ac:dyDescent="0.4"/>
    <row r="937" s="26" customFormat="1" x14ac:dyDescent="0.4"/>
    <row r="938" s="26" customFormat="1" x14ac:dyDescent="0.4"/>
    <row r="939" s="26" customFormat="1" x14ac:dyDescent="0.4"/>
    <row r="940" s="26" customFormat="1" x14ac:dyDescent="0.4"/>
    <row r="941" s="26" customFormat="1" x14ac:dyDescent="0.4"/>
    <row r="942" s="26" customFormat="1" x14ac:dyDescent="0.4"/>
    <row r="943" s="26" customFormat="1" x14ac:dyDescent="0.4"/>
    <row r="944" s="26" customFormat="1" x14ac:dyDescent="0.4"/>
    <row r="945" s="26" customFormat="1" x14ac:dyDescent="0.4"/>
    <row r="946" s="26" customFormat="1" x14ac:dyDescent="0.4"/>
    <row r="947" s="26" customFormat="1" x14ac:dyDescent="0.4"/>
    <row r="948" s="26" customFormat="1" x14ac:dyDescent="0.4"/>
    <row r="949" s="26" customFormat="1" x14ac:dyDescent="0.4"/>
    <row r="950" s="26" customFormat="1" x14ac:dyDescent="0.4"/>
    <row r="951" s="26" customFormat="1" x14ac:dyDescent="0.4"/>
    <row r="952" s="26" customFormat="1" x14ac:dyDescent="0.4"/>
    <row r="953" s="26" customFormat="1" x14ac:dyDescent="0.4"/>
    <row r="954" s="26" customFormat="1" x14ac:dyDescent="0.4"/>
    <row r="955" s="26" customFormat="1" x14ac:dyDescent="0.4"/>
    <row r="956" s="26" customFormat="1" x14ac:dyDescent="0.4"/>
    <row r="957" s="26" customFormat="1" x14ac:dyDescent="0.4"/>
    <row r="958" s="26" customFormat="1" x14ac:dyDescent="0.4"/>
    <row r="959" s="26" customFormat="1" x14ac:dyDescent="0.4"/>
    <row r="960" s="26" customFormat="1" x14ac:dyDescent="0.4"/>
    <row r="961" s="26" customFormat="1" x14ac:dyDescent="0.4"/>
    <row r="962" s="26" customFormat="1" x14ac:dyDescent="0.4"/>
    <row r="963" s="26" customFormat="1" x14ac:dyDescent="0.4"/>
    <row r="964" s="26" customFormat="1" x14ac:dyDescent="0.4"/>
    <row r="965" s="26" customFormat="1" x14ac:dyDescent="0.4"/>
    <row r="966" s="26" customFormat="1" x14ac:dyDescent="0.4"/>
    <row r="967" s="26" customFormat="1" x14ac:dyDescent="0.4"/>
    <row r="968" s="26" customFormat="1" x14ac:dyDescent="0.4"/>
    <row r="969" s="26" customFormat="1" x14ac:dyDescent="0.4"/>
    <row r="970" s="26" customFormat="1" x14ac:dyDescent="0.4"/>
    <row r="971" s="26" customFormat="1" x14ac:dyDescent="0.4"/>
    <row r="972" s="26" customFormat="1" x14ac:dyDescent="0.4"/>
    <row r="973" s="26" customFormat="1" x14ac:dyDescent="0.4"/>
    <row r="974" s="26" customFormat="1" x14ac:dyDescent="0.4"/>
    <row r="975" s="26" customFormat="1" x14ac:dyDescent="0.4"/>
    <row r="976" s="26" customFormat="1" x14ac:dyDescent="0.4"/>
    <row r="977" s="26" customFormat="1" x14ac:dyDescent="0.4"/>
    <row r="978" s="26" customFormat="1" x14ac:dyDescent="0.4"/>
    <row r="979" s="26" customFormat="1" x14ac:dyDescent="0.4"/>
    <row r="980" s="26" customFormat="1" x14ac:dyDescent="0.4"/>
    <row r="981" s="26" customFormat="1" x14ac:dyDescent="0.4"/>
    <row r="982" s="26" customFormat="1" x14ac:dyDescent="0.4"/>
    <row r="983" s="26" customFormat="1" x14ac:dyDescent="0.4"/>
    <row r="984" s="26" customFormat="1" x14ac:dyDescent="0.4"/>
    <row r="985" s="26" customFormat="1" x14ac:dyDescent="0.4"/>
    <row r="986" s="26" customFormat="1" x14ac:dyDescent="0.4"/>
    <row r="987" s="26" customFormat="1" x14ac:dyDescent="0.4"/>
    <row r="988" s="26" customFormat="1" x14ac:dyDescent="0.4"/>
    <row r="989" s="26" customFormat="1" x14ac:dyDescent="0.4"/>
    <row r="990" s="26" customFormat="1" x14ac:dyDescent="0.4"/>
    <row r="991" s="26" customFormat="1" x14ac:dyDescent="0.4"/>
    <row r="992" s="26" customFormat="1" x14ac:dyDescent="0.4"/>
    <row r="993" s="26" customFormat="1" x14ac:dyDescent="0.4"/>
    <row r="994" s="26" customFormat="1" x14ac:dyDescent="0.4"/>
    <row r="995" s="26" customFormat="1" x14ac:dyDescent="0.4"/>
    <row r="996" s="26" customFormat="1" x14ac:dyDescent="0.4"/>
    <row r="997" s="26" customFormat="1" x14ac:dyDescent="0.4"/>
    <row r="998" s="26" customFormat="1" x14ac:dyDescent="0.4"/>
    <row r="999" s="26" customFormat="1" x14ac:dyDescent="0.4"/>
    <row r="1000" s="26" customFormat="1" x14ac:dyDescent="0.4"/>
  </sheetData>
  <mergeCells count="2">
    <mergeCell ref="D6:E6"/>
    <mergeCell ref="D5:E5"/>
  </mergeCells>
  <phoneticPr fontId="1"/>
  <dataValidations count="1">
    <dataValidation type="list" allowBlank="1" showInputMessage="1" showErrorMessage="1" sqref="I11:I1000" xr:uid="{9887A59C-3C0F-4A4B-AA1F-824332252359}">
      <formula1>"S_001,S_002,X_003"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OptionButton_PDF_Export_On">
          <controlPr defaultSize="0" autoLine="0" r:id="rId4">
            <anchor moveWithCells="1">
              <from>
                <xdr:col>3</xdr:col>
                <xdr:colOff>85725</xdr:colOff>
                <xdr:row>5</xdr:row>
                <xdr:rowOff>114300</xdr:rowOff>
              </from>
              <to>
                <xdr:col>3</xdr:col>
                <xdr:colOff>1314450</xdr:colOff>
                <xdr:row>5</xdr:row>
                <xdr:rowOff>371475</xdr:rowOff>
              </to>
            </anchor>
          </controlPr>
        </control>
      </mc:Choice>
      <mc:Fallback>
        <control shapeId="2054" r:id="rId3" name="OptionButton_PDF_Export_On"/>
      </mc:Fallback>
    </mc:AlternateContent>
    <mc:AlternateContent xmlns:mc="http://schemas.openxmlformats.org/markup-compatibility/2006">
      <mc:Choice Requires="x14">
        <control shapeId="2055" r:id="rId5" name="OptionButton_PDF_Export_OFF">
          <controlPr defaultSize="0" autoLine="0" r:id="rId6">
            <anchor moveWithCells="1">
              <from>
                <xdr:col>3</xdr:col>
                <xdr:colOff>85725</xdr:colOff>
                <xdr:row>5</xdr:row>
                <xdr:rowOff>390525</xdr:rowOff>
              </from>
              <to>
                <xdr:col>3</xdr:col>
                <xdr:colOff>1314450</xdr:colOff>
                <xdr:row>5</xdr:row>
                <xdr:rowOff>647700</xdr:rowOff>
              </to>
            </anchor>
          </controlPr>
        </control>
      </mc:Choice>
      <mc:Fallback>
        <control shapeId="2055" r:id="rId5" name="OptionButton_PDF_Export_OFF"/>
      </mc:Fallback>
    </mc:AlternateContent>
    <mc:AlternateContent xmlns:mc="http://schemas.openxmlformats.org/markup-compatibility/2006">
      <mc:Choice Requires="x14">
        <control shapeId="2059" r:id="rId7" name="CommandButton_C_E_D">
          <controlPr defaultSize="0" autoLine="0" r:id="rId8">
            <anchor moveWithCells="1">
              <from>
                <xdr:col>6</xdr:col>
                <xdr:colOff>552450</xdr:colOff>
                <xdr:row>3</xdr:row>
                <xdr:rowOff>200025</xdr:rowOff>
              </from>
              <to>
                <xdr:col>7</xdr:col>
                <xdr:colOff>1228725</xdr:colOff>
                <xdr:row>5</xdr:row>
                <xdr:rowOff>742950</xdr:rowOff>
              </to>
            </anchor>
          </controlPr>
        </control>
      </mc:Choice>
      <mc:Fallback>
        <control shapeId="2059" r:id="rId7" name="CommandButton_C_E_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8DB68A-AF77-4AC8-8DD0-53C90E05D240}">
          <x14:formula1>
            <xm:f>基礎データ!$B$4:$CV$4</xm:f>
          </x14:formula1>
          <xm:sqref>D5:E5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C6BB-B5FE-48D4-83C3-8A7469E0D3BD}">
  <sheetPr published="0" codeName="Sheet4"/>
  <dimension ref="B2:H55"/>
  <sheetViews>
    <sheetView showGridLines="0" workbookViewId="0"/>
  </sheetViews>
  <sheetFormatPr defaultRowHeight="18.75" x14ac:dyDescent="0.4"/>
  <cols>
    <col min="3" max="3" width="17.875" customWidth="1"/>
    <col min="4" max="6" width="14.875" customWidth="1"/>
    <col min="7" max="7" width="63.625" customWidth="1"/>
  </cols>
  <sheetData>
    <row r="2" spans="2:7" ht="25.5" x14ac:dyDescent="0.4">
      <c r="B2" s="32" t="s">
        <v>50</v>
      </c>
    </row>
    <row r="4" spans="2:7" x14ac:dyDescent="0.4">
      <c r="B4" s="34" t="s">
        <v>48</v>
      </c>
      <c r="C4" s="34" t="s">
        <v>106</v>
      </c>
      <c r="D4" s="34" t="s">
        <v>33</v>
      </c>
      <c r="E4" s="34" t="s">
        <v>52</v>
      </c>
      <c r="F4" s="34" t="s">
        <v>27</v>
      </c>
      <c r="G4" s="34" t="s">
        <v>35</v>
      </c>
    </row>
    <row r="5" spans="2:7" x14ac:dyDescent="0.4">
      <c r="B5" s="33">
        <f>IF(C5 &lt;&gt; "",ROW()-ROW(B$4),"")</f>
        <v>1</v>
      </c>
      <c r="C5" s="27" t="s">
        <v>72</v>
      </c>
      <c r="D5" s="27" t="s">
        <v>57</v>
      </c>
      <c r="E5" s="27">
        <v>20</v>
      </c>
      <c r="F5" s="27" t="s">
        <v>14</v>
      </c>
      <c r="G5" s="27" t="s">
        <v>115</v>
      </c>
    </row>
    <row r="6" spans="2:7" x14ac:dyDescent="0.4">
      <c r="B6" s="33">
        <f t="shared" ref="B6:B55" si="0">IF(C6 &lt;&gt; "",ROW()-ROW(B$4),"")</f>
        <v>2</v>
      </c>
      <c r="C6" s="27" t="s">
        <v>72</v>
      </c>
      <c r="D6" s="27" t="s">
        <v>73</v>
      </c>
      <c r="E6" s="27">
        <v>1</v>
      </c>
      <c r="F6" s="27" t="s">
        <v>13</v>
      </c>
      <c r="G6" s="27"/>
    </row>
    <row r="7" spans="2:7" x14ac:dyDescent="0.4">
      <c r="B7" s="33">
        <f t="shared" si="0"/>
        <v>3</v>
      </c>
      <c r="C7" s="27" t="s">
        <v>71</v>
      </c>
      <c r="D7" s="27" t="s">
        <v>54</v>
      </c>
      <c r="E7" s="27">
        <v>10</v>
      </c>
      <c r="F7" s="27" t="s">
        <v>15</v>
      </c>
      <c r="G7" s="27" t="s">
        <v>77</v>
      </c>
    </row>
    <row r="8" spans="2:7" x14ac:dyDescent="0.4">
      <c r="B8" s="33">
        <f t="shared" si="0"/>
        <v>4</v>
      </c>
      <c r="C8" s="27" t="s">
        <v>74</v>
      </c>
      <c r="D8" s="27" t="s">
        <v>75</v>
      </c>
      <c r="E8" s="27">
        <v>30</v>
      </c>
      <c r="F8" s="27" t="s">
        <v>14</v>
      </c>
      <c r="G8" s="27" t="s">
        <v>78</v>
      </c>
    </row>
    <row r="9" spans="2:7" x14ac:dyDescent="0.4">
      <c r="B9" s="33">
        <f t="shared" si="0"/>
        <v>5</v>
      </c>
      <c r="C9" s="27" t="s">
        <v>74</v>
      </c>
      <c r="D9" s="27" t="s">
        <v>76</v>
      </c>
      <c r="E9" s="27">
        <v>2</v>
      </c>
      <c r="F9" s="27" t="s">
        <v>15</v>
      </c>
      <c r="G9" s="27"/>
    </row>
    <row r="10" spans="2:7" x14ac:dyDescent="0.4">
      <c r="B10" s="33">
        <f t="shared" si="0"/>
        <v>6</v>
      </c>
      <c r="C10" s="27" t="s">
        <v>74</v>
      </c>
      <c r="D10" s="27" t="s">
        <v>101</v>
      </c>
      <c r="E10" s="27">
        <v>3</v>
      </c>
      <c r="F10" s="27" t="s">
        <v>28</v>
      </c>
      <c r="G10" s="27"/>
    </row>
    <row r="11" spans="2:7" x14ac:dyDescent="0.4">
      <c r="B11" s="33">
        <f t="shared" si="0"/>
        <v>7</v>
      </c>
      <c r="C11" s="27" t="s">
        <v>71</v>
      </c>
      <c r="D11" s="27" t="s">
        <v>110</v>
      </c>
      <c r="E11" s="27">
        <v>20</v>
      </c>
      <c r="F11" s="27" t="s">
        <v>14</v>
      </c>
      <c r="G11" s="27"/>
    </row>
    <row r="12" spans="2:7" x14ac:dyDescent="0.4">
      <c r="B12" s="33">
        <f t="shared" si="0"/>
        <v>8</v>
      </c>
      <c r="C12" s="27" t="s">
        <v>125</v>
      </c>
      <c r="D12" s="27" t="s">
        <v>126</v>
      </c>
      <c r="E12" s="27">
        <v>40</v>
      </c>
      <c r="F12" s="27" t="s">
        <v>14</v>
      </c>
      <c r="G12" s="27"/>
    </row>
    <row r="13" spans="2:7" x14ac:dyDescent="0.4">
      <c r="B13" s="33">
        <f t="shared" si="0"/>
        <v>9</v>
      </c>
      <c r="C13" s="27" t="s">
        <v>124</v>
      </c>
      <c r="D13" s="27" t="s">
        <v>127</v>
      </c>
      <c r="E13" s="27">
        <v>18</v>
      </c>
      <c r="F13" s="27" t="s">
        <v>15</v>
      </c>
      <c r="G13" s="27" t="s">
        <v>128</v>
      </c>
    </row>
    <row r="14" spans="2:7" x14ac:dyDescent="0.4">
      <c r="B14" s="33" t="str">
        <f t="shared" si="0"/>
        <v/>
      </c>
      <c r="C14" s="27"/>
      <c r="D14" s="27"/>
      <c r="E14" s="27"/>
      <c r="F14" s="27"/>
      <c r="G14" s="27"/>
    </row>
    <row r="15" spans="2:7" x14ac:dyDescent="0.4">
      <c r="B15" s="33" t="str">
        <f t="shared" si="0"/>
        <v/>
      </c>
      <c r="C15" s="27"/>
      <c r="D15" s="27"/>
      <c r="E15" s="27"/>
      <c r="F15" s="27"/>
      <c r="G15" s="27"/>
    </row>
    <row r="16" spans="2:7" x14ac:dyDescent="0.4">
      <c r="B16" s="33" t="str">
        <f t="shared" si="0"/>
        <v/>
      </c>
      <c r="C16" s="27"/>
      <c r="D16" s="27"/>
      <c r="E16" s="27"/>
      <c r="F16" s="27"/>
      <c r="G16" s="27"/>
    </row>
    <row r="17" spans="2:8" x14ac:dyDescent="0.4">
      <c r="B17" s="33" t="str">
        <f t="shared" si="0"/>
        <v/>
      </c>
      <c r="C17" s="27"/>
      <c r="D17" s="27"/>
      <c r="E17" s="27"/>
      <c r="F17" s="27"/>
      <c r="H17" s="22"/>
    </row>
    <row r="18" spans="2:8" x14ac:dyDescent="0.4">
      <c r="B18" s="33" t="str">
        <f t="shared" si="0"/>
        <v/>
      </c>
      <c r="C18" s="27"/>
      <c r="D18" s="27"/>
      <c r="E18" s="27"/>
      <c r="F18" s="27"/>
      <c r="G18" s="27"/>
    </row>
    <row r="19" spans="2:8" x14ac:dyDescent="0.4">
      <c r="B19" s="33" t="str">
        <f t="shared" si="0"/>
        <v/>
      </c>
      <c r="C19" s="27"/>
      <c r="D19" s="27"/>
      <c r="E19" s="27"/>
      <c r="F19" s="27"/>
      <c r="G19" s="27"/>
    </row>
    <row r="20" spans="2:8" x14ac:dyDescent="0.4">
      <c r="B20" s="33" t="str">
        <f t="shared" si="0"/>
        <v/>
      </c>
      <c r="C20" s="27"/>
      <c r="D20" s="27"/>
      <c r="E20" s="27"/>
      <c r="F20" s="27"/>
      <c r="G20" s="27"/>
    </row>
    <row r="21" spans="2:8" x14ac:dyDescent="0.4">
      <c r="B21" s="33" t="str">
        <f t="shared" si="0"/>
        <v/>
      </c>
      <c r="C21" s="27"/>
      <c r="D21" s="27"/>
      <c r="E21" s="27"/>
      <c r="F21" s="27"/>
      <c r="G21" s="27"/>
    </row>
    <row r="22" spans="2:8" x14ac:dyDescent="0.4">
      <c r="B22" s="33" t="str">
        <f t="shared" si="0"/>
        <v/>
      </c>
      <c r="C22" s="27"/>
      <c r="D22" s="27"/>
      <c r="E22" s="27"/>
      <c r="F22" s="27"/>
      <c r="G22" s="27"/>
    </row>
    <row r="23" spans="2:8" x14ac:dyDescent="0.4">
      <c r="B23" s="33" t="str">
        <f t="shared" si="0"/>
        <v/>
      </c>
      <c r="C23" s="27"/>
      <c r="D23" s="27"/>
      <c r="E23" s="27"/>
      <c r="F23" s="27"/>
      <c r="G23" s="27"/>
    </row>
    <row r="24" spans="2:8" x14ac:dyDescent="0.4">
      <c r="B24" s="33" t="str">
        <f t="shared" si="0"/>
        <v/>
      </c>
      <c r="C24" s="27"/>
      <c r="D24" s="27"/>
      <c r="E24" s="27"/>
      <c r="F24" s="27"/>
      <c r="G24" s="27"/>
    </row>
    <row r="25" spans="2:8" x14ac:dyDescent="0.4">
      <c r="B25" s="33" t="str">
        <f t="shared" si="0"/>
        <v/>
      </c>
      <c r="C25" s="27"/>
      <c r="D25" s="27"/>
      <c r="E25" s="27"/>
      <c r="F25" s="27"/>
      <c r="G25" s="27"/>
    </row>
    <row r="26" spans="2:8" x14ac:dyDescent="0.4">
      <c r="B26" s="33" t="str">
        <f t="shared" si="0"/>
        <v/>
      </c>
      <c r="C26" s="27"/>
      <c r="D26" s="27"/>
      <c r="E26" s="27"/>
      <c r="F26" s="27"/>
      <c r="G26" s="27"/>
    </row>
    <row r="27" spans="2:8" x14ac:dyDescent="0.4">
      <c r="B27" t="str">
        <f t="shared" si="0"/>
        <v/>
      </c>
    </row>
    <row r="28" spans="2:8" x14ac:dyDescent="0.4">
      <c r="B28" t="str">
        <f t="shared" si="0"/>
        <v/>
      </c>
    </row>
    <row r="29" spans="2:8" x14ac:dyDescent="0.4">
      <c r="B29" t="str">
        <f t="shared" si="0"/>
        <v/>
      </c>
    </row>
    <row r="30" spans="2:8" x14ac:dyDescent="0.4">
      <c r="B30" t="str">
        <f t="shared" si="0"/>
        <v/>
      </c>
    </row>
    <row r="31" spans="2:8" x14ac:dyDescent="0.4">
      <c r="B31" t="str">
        <f t="shared" si="0"/>
        <v/>
      </c>
    </row>
    <row r="32" spans="2:8" x14ac:dyDescent="0.4">
      <c r="B32" t="str">
        <f t="shared" si="0"/>
        <v/>
      </c>
    </row>
    <row r="33" spans="2:2" x14ac:dyDescent="0.4">
      <c r="B33" t="str">
        <f t="shared" si="0"/>
        <v/>
      </c>
    </row>
    <row r="34" spans="2:2" x14ac:dyDescent="0.4">
      <c r="B34" t="str">
        <f t="shared" si="0"/>
        <v/>
      </c>
    </row>
    <row r="35" spans="2:2" x14ac:dyDescent="0.4">
      <c r="B35" t="str">
        <f t="shared" si="0"/>
        <v/>
      </c>
    </row>
    <row r="36" spans="2:2" x14ac:dyDescent="0.4">
      <c r="B36" t="str">
        <f t="shared" si="0"/>
        <v/>
      </c>
    </row>
    <row r="37" spans="2:2" x14ac:dyDescent="0.4">
      <c r="B37" t="str">
        <f t="shared" si="0"/>
        <v/>
      </c>
    </row>
    <row r="38" spans="2:2" x14ac:dyDescent="0.4">
      <c r="B38" t="str">
        <f t="shared" si="0"/>
        <v/>
      </c>
    </row>
    <row r="39" spans="2:2" x14ac:dyDescent="0.4">
      <c r="B39" t="str">
        <f t="shared" si="0"/>
        <v/>
      </c>
    </row>
    <row r="40" spans="2:2" x14ac:dyDescent="0.4">
      <c r="B40" t="str">
        <f t="shared" si="0"/>
        <v/>
      </c>
    </row>
    <row r="41" spans="2:2" x14ac:dyDescent="0.4">
      <c r="B41" t="str">
        <f t="shared" si="0"/>
        <v/>
      </c>
    </row>
    <row r="42" spans="2:2" x14ac:dyDescent="0.4">
      <c r="B42" t="str">
        <f t="shared" si="0"/>
        <v/>
      </c>
    </row>
    <row r="43" spans="2:2" x14ac:dyDescent="0.4">
      <c r="B43" t="str">
        <f t="shared" si="0"/>
        <v/>
      </c>
    </row>
    <row r="44" spans="2:2" x14ac:dyDescent="0.4">
      <c r="B44" t="str">
        <f t="shared" si="0"/>
        <v/>
      </c>
    </row>
    <row r="45" spans="2:2" x14ac:dyDescent="0.4">
      <c r="B45" t="str">
        <f t="shared" si="0"/>
        <v/>
      </c>
    </row>
    <row r="46" spans="2:2" x14ac:dyDescent="0.4">
      <c r="B46" t="str">
        <f t="shared" si="0"/>
        <v/>
      </c>
    </row>
    <row r="47" spans="2:2" x14ac:dyDescent="0.4">
      <c r="B47" t="str">
        <f t="shared" si="0"/>
        <v/>
      </c>
    </row>
    <row r="48" spans="2:2" x14ac:dyDescent="0.4">
      <c r="B48" t="str">
        <f t="shared" si="0"/>
        <v/>
      </c>
    </row>
    <row r="49" spans="2:2" x14ac:dyDescent="0.4">
      <c r="B49" t="str">
        <f t="shared" si="0"/>
        <v/>
      </c>
    </row>
    <row r="50" spans="2:2" x14ac:dyDescent="0.4">
      <c r="B50" t="str">
        <f t="shared" si="0"/>
        <v/>
      </c>
    </row>
    <row r="51" spans="2:2" x14ac:dyDescent="0.4">
      <c r="B51" t="str">
        <f t="shared" si="0"/>
        <v/>
      </c>
    </row>
    <row r="52" spans="2:2" x14ac:dyDescent="0.4">
      <c r="B52" t="str">
        <f t="shared" si="0"/>
        <v/>
      </c>
    </row>
    <row r="53" spans="2:2" x14ac:dyDescent="0.4">
      <c r="B53" t="str">
        <f t="shared" si="0"/>
        <v/>
      </c>
    </row>
    <row r="54" spans="2:2" x14ac:dyDescent="0.4">
      <c r="B54" t="str">
        <f t="shared" si="0"/>
        <v/>
      </c>
    </row>
    <row r="55" spans="2:2" x14ac:dyDescent="0.4">
      <c r="B55" t="str">
        <f t="shared" si="0"/>
        <v/>
      </c>
    </row>
  </sheetData>
  <phoneticPr fontId="1"/>
  <dataValidations count="1">
    <dataValidation type="list" allowBlank="1" showInputMessage="1" showErrorMessage="1" sqref="D5:D1000" xr:uid="{49477B9A-AAB7-4ADC-9FED-2F907C1247AF}">
      <formula1>"A_A_001,A_A_002,A_A_003,A_A_004,A_A_005,A_B_001,A_B_002,A_B_003,A_B_004,A_B_005,A_C_001,"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CEA1D9-AFA7-4C1D-8F3E-ABD29BB387A8}">
          <x14:formula1>
            <xm:f>基礎データ!$B$5:$CV$5</xm:f>
          </x14:formula1>
          <xm:sqref>F5:F26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9321-76F0-4E13-96B2-15EDFE517B70}">
  <sheetPr published="0" codeName="Sheet5"/>
  <dimension ref="B2:E65"/>
  <sheetViews>
    <sheetView showGridLines="0" workbookViewId="0"/>
  </sheetViews>
  <sheetFormatPr defaultRowHeight="18.75" x14ac:dyDescent="0.4"/>
  <cols>
    <col min="3" max="3" width="13.875" customWidth="1"/>
    <col min="4" max="4" width="24.625" customWidth="1"/>
    <col min="5" max="5" width="19.875" customWidth="1"/>
  </cols>
  <sheetData>
    <row r="2" spans="2:5" ht="25.5" x14ac:dyDescent="0.4">
      <c r="B2" s="32" t="s">
        <v>51</v>
      </c>
    </row>
    <row r="4" spans="2:5" x14ac:dyDescent="0.4">
      <c r="B4" s="34" t="s">
        <v>48</v>
      </c>
      <c r="C4" s="34" t="s">
        <v>33</v>
      </c>
      <c r="D4" s="34" t="s">
        <v>34</v>
      </c>
      <c r="E4" s="34" t="s">
        <v>53</v>
      </c>
    </row>
    <row r="5" spans="2:5" x14ac:dyDescent="0.4">
      <c r="B5" s="33">
        <f>IF(C5 &lt;&gt; "",ROW()-ROW(B$4),"")</f>
        <v>1</v>
      </c>
      <c r="C5" s="27" t="s">
        <v>55</v>
      </c>
      <c r="D5" s="27" t="s">
        <v>56</v>
      </c>
      <c r="E5" s="27">
        <v>100</v>
      </c>
    </row>
    <row r="6" spans="2:5" x14ac:dyDescent="0.4">
      <c r="B6" s="33">
        <f t="shared" ref="B6:B65" si="0">IF(C6 &lt;&gt; "",ROW()-ROW(B$4),"")</f>
        <v>2</v>
      </c>
      <c r="C6" s="27" t="s">
        <v>57</v>
      </c>
      <c r="D6" s="27" t="s">
        <v>58</v>
      </c>
      <c r="E6" s="27">
        <v>120</v>
      </c>
    </row>
    <row r="7" spans="2:5" x14ac:dyDescent="0.4">
      <c r="B7" s="33">
        <f t="shared" si="0"/>
        <v>3</v>
      </c>
      <c r="C7" s="27" t="s">
        <v>59</v>
      </c>
      <c r="D7" s="27" t="s">
        <v>60</v>
      </c>
      <c r="E7" s="27">
        <v>200</v>
      </c>
    </row>
    <row r="8" spans="2:5" x14ac:dyDescent="0.4">
      <c r="B8" s="33">
        <f t="shared" si="0"/>
        <v>4</v>
      </c>
      <c r="C8" s="27" t="s">
        <v>103</v>
      </c>
      <c r="D8" s="27" t="s">
        <v>61</v>
      </c>
      <c r="E8" s="27">
        <v>250</v>
      </c>
    </row>
    <row r="9" spans="2:5" x14ac:dyDescent="0.4">
      <c r="B9" s="33">
        <f t="shared" si="0"/>
        <v>5</v>
      </c>
      <c r="C9" s="27" t="s">
        <v>73</v>
      </c>
      <c r="D9" s="27" t="s">
        <v>62</v>
      </c>
      <c r="E9" s="27">
        <v>1000</v>
      </c>
    </row>
    <row r="10" spans="2:5" x14ac:dyDescent="0.4">
      <c r="B10" s="33">
        <f>IF(C10 &lt;&gt; "",ROW()-ROW(B$4),"")</f>
        <v>6</v>
      </c>
      <c r="C10" s="27" t="s">
        <v>54</v>
      </c>
      <c r="D10" s="27" t="s">
        <v>63</v>
      </c>
      <c r="E10" s="27">
        <v>10000</v>
      </c>
    </row>
    <row r="11" spans="2:5" x14ac:dyDescent="0.4">
      <c r="B11" s="33">
        <f t="shared" si="0"/>
        <v>7</v>
      </c>
      <c r="C11" s="27" t="s">
        <v>68</v>
      </c>
      <c r="D11" s="27" t="s">
        <v>64</v>
      </c>
      <c r="E11" s="27">
        <v>25000</v>
      </c>
    </row>
    <row r="12" spans="2:5" x14ac:dyDescent="0.4">
      <c r="B12" s="33">
        <f t="shared" si="0"/>
        <v>8</v>
      </c>
      <c r="C12" s="27" t="s">
        <v>69</v>
      </c>
      <c r="D12" s="27" t="s">
        <v>65</v>
      </c>
      <c r="E12" s="27">
        <v>6000</v>
      </c>
    </row>
    <row r="13" spans="2:5" x14ac:dyDescent="0.4">
      <c r="B13" s="33">
        <f>IF(C13 &lt;&gt; "",ROW()-ROW(B$4),"")</f>
        <v>9</v>
      </c>
      <c r="C13" s="27" t="s">
        <v>107</v>
      </c>
      <c r="D13" s="27" t="s">
        <v>66</v>
      </c>
      <c r="E13" s="27">
        <v>8000</v>
      </c>
    </row>
    <row r="14" spans="2:5" x14ac:dyDescent="0.4">
      <c r="B14" s="33">
        <f t="shared" si="0"/>
        <v>10</v>
      </c>
      <c r="C14" s="27" t="s">
        <v>70</v>
      </c>
      <c r="D14" s="27" t="s">
        <v>67</v>
      </c>
      <c r="E14" s="27">
        <v>32000</v>
      </c>
    </row>
    <row r="15" spans="2:5" x14ac:dyDescent="0.4">
      <c r="B15" s="33">
        <f t="shared" si="0"/>
        <v>11</v>
      </c>
      <c r="C15" s="27" t="s">
        <v>102</v>
      </c>
      <c r="D15" s="27" t="s">
        <v>104</v>
      </c>
      <c r="E15" s="27">
        <v>500000</v>
      </c>
    </row>
    <row r="16" spans="2:5" x14ac:dyDescent="0.4">
      <c r="B16" s="33" t="str">
        <f t="shared" si="0"/>
        <v/>
      </c>
      <c r="C16" s="27"/>
      <c r="D16" s="27"/>
      <c r="E16" s="27"/>
    </row>
    <row r="17" spans="2:5" x14ac:dyDescent="0.4">
      <c r="B17" s="33" t="str">
        <f t="shared" si="0"/>
        <v/>
      </c>
      <c r="C17" s="27"/>
      <c r="D17" s="27"/>
      <c r="E17" s="27"/>
    </row>
    <row r="18" spans="2:5" x14ac:dyDescent="0.4">
      <c r="B18" s="33" t="str">
        <f t="shared" si="0"/>
        <v/>
      </c>
      <c r="C18" s="27"/>
      <c r="D18" s="27"/>
      <c r="E18" s="27"/>
    </row>
    <row r="19" spans="2:5" x14ac:dyDescent="0.4">
      <c r="B19" s="33" t="str">
        <f t="shared" si="0"/>
        <v/>
      </c>
      <c r="C19" s="27"/>
      <c r="D19" s="27"/>
      <c r="E19" s="27"/>
    </row>
    <row r="20" spans="2:5" x14ac:dyDescent="0.4">
      <c r="B20" s="33" t="str">
        <f t="shared" si="0"/>
        <v/>
      </c>
      <c r="C20" s="27"/>
      <c r="D20" s="27"/>
      <c r="E20" s="27"/>
    </row>
    <row r="21" spans="2:5" x14ac:dyDescent="0.4">
      <c r="B21" s="33" t="str">
        <f t="shared" si="0"/>
        <v/>
      </c>
      <c r="C21" s="27"/>
      <c r="D21" s="27"/>
      <c r="E21" s="27"/>
    </row>
    <row r="22" spans="2:5" x14ac:dyDescent="0.4">
      <c r="B22" s="33" t="str">
        <f t="shared" si="0"/>
        <v/>
      </c>
      <c r="C22" s="27"/>
      <c r="D22" s="27"/>
      <c r="E22" s="27"/>
    </row>
    <row r="23" spans="2:5" x14ac:dyDescent="0.4">
      <c r="B23" s="33" t="str">
        <f t="shared" si="0"/>
        <v/>
      </c>
      <c r="C23" s="27"/>
      <c r="D23" s="27"/>
      <c r="E23" s="27"/>
    </row>
    <row r="24" spans="2:5" x14ac:dyDescent="0.4">
      <c r="B24" s="33" t="str">
        <f t="shared" si="0"/>
        <v/>
      </c>
      <c r="C24" s="27"/>
      <c r="D24" s="27"/>
      <c r="E24" s="27"/>
    </row>
    <row r="25" spans="2:5" x14ac:dyDescent="0.4">
      <c r="B25" s="33" t="str">
        <f t="shared" si="0"/>
        <v/>
      </c>
      <c r="C25" s="27"/>
      <c r="D25" s="27"/>
      <c r="E25" s="27"/>
    </row>
    <row r="26" spans="2:5" x14ac:dyDescent="0.4">
      <c r="B26" s="33" t="str">
        <f t="shared" si="0"/>
        <v/>
      </c>
      <c r="C26" s="27"/>
      <c r="D26" s="27"/>
      <c r="E26" s="27"/>
    </row>
    <row r="27" spans="2:5" x14ac:dyDescent="0.4">
      <c r="B27" t="str">
        <f t="shared" si="0"/>
        <v/>
      </c>
    </row>
    <row r="28" spans="2:5" x14ac:dyDescent="0.4">
      <c r="B28" t="str">
        <f t="shared" si="0"/>
        <v/>
      </c>
    </row>
    <row r="29" spans="2:5" x14ac:dyDescent="0.4">
      <c r="B29" t="str">
        <f t="shared" si="0"/>
        <v/>
      </c>
    </row>
    <row r="30" spans="2:5" x14ac:dyDescent="0.4">
      <c r="B30" t="str">
        <f t="shared" si="0"/>
        <v/>
      </c>
    </row>
    <row r="31" spans="2:5" x14ac:dyDescent="0.4">
      <c r="B31" t="str">
        <f t="shared" si="0"/>
        <v/>
      </c>
    </row>
    <row r="32" spans="2:5" x14ac:dyDescent="0.4">
      <c r="B32" t="str">
        <f t="shared" si="0"/>
        <v/>
      </c>
    </row>
    <row r="33" spans="2:2" x14ac:dyDescent="0.4">
      <c r="B33" t="str">
        <f t="shared" si="0"/>
        <v/>
      </c>
    </row>
    <row r="34" spans="2:2" x14ac:dyDescent="0.4">
      <c r="B34" t="str">
        <f t="shared" si="0"/>
        <v/>
      </c>
    </row>
    <row r="35" spans="2:2" x14ac:dyDescent="0.4">
      <c r="B35" t="str">
        <f t="shared" si="0"/>
        <v/>
      </c>
    </row>
    <row r="36" spans="2:2" x14ac:dyDescent="0.4">
      <c r="B36" t="str">
        <f t="shared" si="0"/>
        <v/>
      </c>
    </row>
    <row r="37" spans="2:2" x14ac:dyDescent="0.4">
      <c r="B37" t="str">
        <f t="shared" si="0"/>
        <v/>
      </c>
    </row>
    <row r="38" spans="2:2" x14ac:dyDescent="0.4">
      <c r="B38" t="str">
        <f t="shared" si="0"/>
        <v/>
      </c>
    </row>
    <row r="39" spans="2:2" x14ac:dyDescent="0.4">
      <c r="B39" t="str">
        <f t="shared" si="0"/>
        <v/>
      </c>
    </row>
    <row r="40" spans="2:2" x14ac:dyDescent="0.4">
      <c r="B40" t="str">
        <f t="shared" si="0"/>
        <v/>
      </c>
    </row>
    <row r="41" spans="2:2" x14ac:dyDescent="0.4">
      <c r="B41" t="str">
        <f t="shared" si="0"/>
        <v/>
      </c>
    </row>
    <row r="42" spans="2:2" x14ac:dyDescent="0.4">
      <c r="B42" t="str">
        <f t="shared" si="0"/>
        <v/>
      </c>
    </row>
    <row r="43" spans="2:2" x14ac:dyDescent="0.4">
      <c r="B43" t="str">
        <f t="shared" si="0"/>
        <v/>
      </c>
    </row>
    <row r="44" spans="2:2" x14ac:dyDescent="0.4">
      <c r="B44" t="str">
        <f t="shared" si="0"/>
        <v/>
      </c>
    </row>
    <row r="45" spans="2:2" x14ac:dyDescent="0.4">
      <c r="B45" t="str">
        <f t="shared" si="0"/>
        <v/>
      </c>
    </row>
    <row r="46" spans="2:2" x14ac:dyDescent="0.4">
      <c r="B46" t="str">
        <f t="shared" si="0"/>
        <v/>
      </c>
    </row>
    <row r="47" spans="2:2" x14ac:dyDescent="0.4">
      <c r="B47" t="str">
        <f t="shared" si="0"/>
        <v/>
      </c>
    </row>
    <row r="48" spans="2:2" x14ac:dyDescent="0.4">
      <c r="B48" t="str">
        <f t="shared" si="0"/>
        <v/>
      </c>
    </row>
    <row r="49" spans="2:2" x14ac:dyDescent="0.4">
      <c r="B49" t="str">
        <f t="shared" si="0"/>
        <v/>
      </c>
    </row>
    <row r="50" spans="2:2" x14ac:dyDescent="0.4">
      <c r="B50" t="str">
        <f t="shared" si="0"/>
        <v/>
      </c>
    </row>
    <row r="51" spans="2:2" x14ac:dyDescent="0.4">
      <c r="B51" t="str">
        <f t="shared" si="0"/>
        <v/>
      </c>
    </row>
    <row r="52" spans="2:2" x14ac:dyDescent="0.4">
      <c r="B52" t="str">
        <f t="shared" si="0"/>
        <v/>
      </c>
    </row>
    <row r="53" spans="2:2" x14ac:dyDescent="0.4">
      <c r="B53" t="str">
        <f t="shared" si="0"/>
        <v/>
      </c>
    </row>
    <row r="54" spans="2:2" x14ac:dyDescent="0.4">
      <c r="B54" t="str">
        <f t="shared" si="0"/>
        <v/>
      </c>
    </row>
    <row r="55" spans="2:2" x14ac:dyDescent="0.4">
      <c r="B55" t="str">
        <f t="shared" si="0"/>
        <v/>
      </c>
    </row>
    <row r="56" spans="2:2" x14ac:dyDescent="0.4">
      <c r="B56" t="str">
        <f t="shared" si="0"/>
        <v/>
      </c>
    </row>
    <row r="57" spans="2:2" x14ac:dyDescent="0.4">
      <c r="B57" t="str">
        <f t="shared" si="0"/>
        <v/>
      </c>
    </row>
    <row r="58" spans="2:2" x14ac:dyDescent="0.4">
      <c r="B58" t="str">
        <f t="shared" si="0"/>
        <v/>
      </c>
    </row>
    <row r="59" spans="2:2" x14ac:dyDescent="0.4">
      <c r="B59" t="str">
        <f t="shared" si="0"/>
        <v/>
      </c>
    </row>
    <row r="60" spans="2:2" x14ac:dyDescent="0.4">
      <c r="B60" t="str">
        <f t="shared" si="0"/>
        <v/>
      </c>
    </row>
    <row r="61" spans="2:2" x14ac:dyDescent="0.4">
      <c r="B61" t="str">
        <f t="shared" si="0"/>
        <v/>
      </c>
    </row>
    <row r="62" spans="2:2" x14ac:dyDescent="0.4">
      <c r="B62" t="str">
        <f t="shared" si="0"/>
        <v/>
      </c>
    </row>
    <row r="63" spans="2:2" x14ac:dyDescent="0.4">
      <c r="B63" t="str">
        <f t="shared" si="0"/>
        <v/>
      </c>
    </row>
    <row r="64" spans="2:2" x14ac:dyDescent="0.4">
      <c r="B64" t="str">
        <f t="shared" si="0"/>
        <v/>
      </c>
    </row>
    <row r="65" spans="2:2" x14ac:dyDescent="0.4">
      <c r="B65" t="str">
        <f t="shared" si="0"/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E5F9F-76EA-4435-81E7-A0C89433AD8D}">
  <sheetPr published="0" codeName="Sheet3"/>
  <dimension ref="A2:F5"/>
  <sheetViews>
    <sheetView showGridLines="0" workbookViewId="0"/>
  </sheetViews>
  <sheetFormatPr defaultRowHeight="18.75" x14ac:dyDescent="0.4"/>
  <cols>
    <col min="1" max="1" width="28.5" customWidth="1"/>
  </cols>
  <sheetData>
    <row r="2" spans="1:6" ht="25.5" x14ac:dyDescent="0.4">
      <c r="B2" s="32" t="s">
        <v>49</v>
      </c>
    </row>
    <row r="4" spans="1:6" s="19" customFormat="1" x14ac:dyDescent="0.4">
      <c r="A4" s="37" t="s">
        <v>98</v>
      </c>
      <c r="B4" s="20">
        <v>0.08</v>
      </c>
      <c r="C4" s="20">
        <v>0.1</v>
      </c>
    </row>
    <row r="5" spans="1:6" s="17" customFormat="1" ht="19.5" x14ac:dyDescent="0.4">
      <c r="A5" s="38" t="s">
        <v>99</v>
      </c>
      <c r="B5" s="18" t="s">
        <v>14</v>
      </c>
      <c r="C5" s="18" t="s">
        <v>13</v>
      </c>
      <c r="D5" s="18" t="s">
        <v>15</v>
      </c>
      <c r="E5" s="18" t="s">
        <v>16</v>
      </c>
      <c r="F5" s="18" t="s">
        <v>28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97D9-7867-403F-90F1-C55105523D9A}">
  <sheetPr published="0" codeName="Sheet2">
    <pageSetUpPr fitToPage="1"/>
  </sheetPr>
  <dimension ref="A1:P63"/>
  <sheetViews>
    <sheetView showGridLines="0" view="pageBreakPreview" zoomScale="60" zoomScaleNormal="70" workbookViewId="0"/>
  </sheetViews>
  <sheetFormatPr defaultColWidth="13" defaultRowHeight="19.5" x14ac:dyDescent="0.4"/>
  <cols>
    <col min="1" max="1" width="7.125" style="1" customWidth="1"/>
    <col min="2" max="15" width="9.625" style="1" customWidth="1"/>
    <col min="16" max="16" width="7.125" style="1" customWidth="1"/>
    <col min="17" max="17" width="12.875" style="1" customWidth="1"/>
    <col min="18" max="16384" width="13" style="1"/>
  </cols>
  <sheetData>
    <row r="1" spans="1:16" s="2" customFormat="1" ht="19.5" customHeight="1" x14ac:dyDescent="0.4">
      <c r="A1" s="1"/>
      <c r="M1" s="58" t="s">
        <v>29</v>
      </c>
      <c r="N1" s="58"/>
      <c r="O1" s="58"/>
      <c r="P1" s="1"/>
    </row>
    <row r="2" spans="1:16" s="2" customFormat="1" ht="19.5" customHeight="1" x14ac:dyDescent="0.4">
      <c r="A2" s="1"/>
      <c r="M2" s="59" t="s">
        <v>30</v>
      </c>
      <c r="N2" s="59"/>
      <c r="O2" s="59"/>
      <c r="P2" s="1"/>
    </row>
    <row r="3" spans="1:16" ht="51" customHeight="1" thickBot="1" x14ac:dyDescent="0.9">
      <c r="B3" s="60" t="s">
        <v>20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</row>
    <row r="4" spans="1:16" ht="36" customHeight="1" thickTop="1" x14ac:dyDescent="0.4">
      <c r="B4" s="61" t="s">
        <v>0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</row>
    <row r="5" spans="1:16" ht="28.5" customHeight="1" x14ac:dyDescent="0.4">
      <c r="B5" s="50" t="s">
        <v>111</v>
      </c>
      <c r="C5" s="50"/>
      <c r="D5" s="50"/>
      <c r="E5" s="50"/>
      <c r="F5" s="50"/>
      <c r="G5" s="50"/>
      <c r="H5" s="50"/>
      <c r="I5" s="50"/>
      <c r="J5" s="3"/>
      <c r="K5" s="4"/>
      <c r="L5" s="4"/>
      <c r="M5" s="4"/>
      <c r="N5" s="4"/>
      <c r="O5" s="4"/>
    </row>
    <row r="6" spans="1:16" ht="28.5" customHeight="1" x14ac:dyDescent="0.4">
      <c r="B6" s="51" t="s">
        <v>31</v>
      </c>
      <c r="C6" s="51"/>
      <c r="D6" s="51"/>
      <c r="E6" s="51"/>
      <c r="F6" s="51"/>
      <c r="G6" s="51"/>
      <c r="H6" s="51"/>
      <c r="I6" s="51"/>
      <c r="J6" s="3"/>
      <c r="K6" s="4"/>
      <c r="L6" s="4"/>
      <c r="M6" s="4"/>
      <c r="N6" s="4"/>
      <c r="O6" s="4"/>
    </row>
    <row r="7" spans="1:16" ht="28.5" customHeight="1" x14ac:dyDescent="0.4">
      <c r="B7" s="14"/>
      <c r="C7" s="14"/>
      <c r="D7" s="14"/>
      <c r="E7" s="14"/>
      <c r="F7" s="14"/>
      <c r="G7" s="14"/>
      <c r="H7" s="14"/>
      <c r="I7" s="14"/>
      <c r="J7" s="3"/>
      <c r="K7" s="4"/>
      <c r="L7" s="4"/>
      <c r="M7" s="4"/>
      <c r="N7" s="4"/>
      <c r="O7" s="4"/>
    </row>
    <row r="8" spans="1:16" s="5" customFormat="1" ht="21" customHeight="1" x14ac:dyDescent="0.4">
      <c r="A8" s="1"/>
      <c r="B8" s="62" t="s">
        <v>1</v>
      </c>
      <c r="C8" s="62"/>
      <c r="D8" s="62"/>
      <c r="E8" s="62"/>
      <c r="F8" s="62"/>
      <c r="G8" s="62"/>
      <c r="H8" s="62"/>
      <c r="I8" s="62"/>
      <c r="J8" s="3"/>
      <c r="K8" s="63" t="s">
        <v>21</v>
      </c>
      <c r="L8" s="63"/>
      <c r="M8" s="63"/>
      <c r="N8" s="63"/>
      <c r="O8" s="63"/>
      <c r="P8" s="63"/>
    </row>
    <row r="9" spans="1:16" s="5" customFormat="1" ht="21" customHeight="1" x14ac:dyDescent="0.4">
      <c r="A9" s="1"/>
      <c r="B9" s="6"/>
      <c r="C9" s="6"/>
      <c r="D9" s="6"/>
      <c r="E9" s="6"/>
      <c r="F9" s="6"/>
      <c r="G9" s="6"/>
      <c r="H9" s="6"/>
      <c r="I9" s="6"/>
      <c r="J9" s="3"/>
      <c r="K9" s="57" t="s">
        <v>22</v>
      </c>
      <c r="L9" s="57"/>
      <c r="M9" s="57"/>
      <c r="N9" s="57"/>
      <c r="O9" s="57"/>
      <c r="P9" s="7"/>
    </row>
    <row r="10" spans="1:16" s="5" customFormat="1" ht="21" customHeight="1" x14ac:dyDescent="0.4">
      <c r="A10" s="1"/>
      <c r="B10" s="55"/>
      <c r="C10" s="55"/>
      <c r="D10" s="55" t="s">
        <v>2</v>
      </c>
      <c r="E10" s="55"/>
      <c r="F10" s="64"/>
      <c r="G10" s="64"/>
      <c r="H10" s="64"/>
      <c r="I10" s="64"/>
      <c r="J10" s="3"/>
      <c r="K10" s="57" t="s">
        <v>23</v>
      </c>
      <c r="L10" s="57"/>
      <c r="M10" s="57"/>
      <c r="N10" s="57"/>
      <c r="O10" s="57"/>
      <c r="P10" s="7"/>
    </row>
    <row r="11" spans="1:16" s="5" customFormat="1" ht="21" customHeight="1" x14ac:dyDescent="0.4">
      <c r="A11" s="1"/>
      <c r="B11" s="55"/>
      <c r="C11" s="55"/>
      <c r="D11" s="55" t="s">
        <v>3</v>
      </c>
      <c r="E11" s="55"/>
      <c r="F11" s="56"/>
      <c r="G11" s="56"/>
      <c r="H11" s="56"/>
      <c r="I11" s="56"/>
      <c r="J11" s="3"/>
      <c r="K11" s="57" t="s">
        <v>24</v>
      </c>
      <c r="L11" s="57"/>
      <c r="M11" s="57"/>
      <c r="N11" s="57"/>
      <c r="O11" s="57"/>
      <c r="P11" s="7"/>
    </row>
    <row r="12" spans="1:16" ht="21" customHeight="1" x14ac:dyDescent="0.4">
      <c r="B12" s="55"/>
      <c r="C12" s="55"/>
      <c r="D12" s="55" t="s">
        <v>4</v>
      </c>
      <c r="E12" s="55"/>
      <c r="F12" s="56"/>
      <c r="G12" s="56"/>
      <c r="H12" s="56"/>
      <c r="I12" s="56"/>
      <c r="J12" s="3"/>
      <c r="K12" s="8"/>
      <c r="L12" s="8" t="s">
        <v>5</v>
      </c>
      <c r="M12" s="65" t="s">
        <v>116</v>
      </c>
      <c r="N12" s="65"/>
      <c r="O12" s="65"/>
    </row>
    <row r="13" spans="1:16" ht="21" customHeight="1" x14ac:dyDescent="0.65">
      <c r="B13" s="9"/>
      <c r="C13" s="10"/>
      <c r="D13" s="10"/>
      <c r="E13" s="10"/>
      <c r="F13" s="10"/>
      <c r="G13" s="10"/>
      <c r="H13" s="10"/>
      <c r="I13" s="11"/>
      <c r="J13" s="3"/>
      <c r="K13" s="8"/>
      <c r="L13" s="8" t="s">
        <v>6</v>
      </c>
      <c r="M13" s="65" t="s">
        <v>117</v>
      </c>
      <c r="N13" s="65"/>
      <c r="O13" s="65"/>
    </row>
    <row r="14" spans="1:16" ht="21" customHeight="1" x14ac:dyDescent="0.4">
      <c r="B14" s="66" t="s">
        <v>32</v>
      </c>
      <c r="C14" s="66"/>
      <c r="D14" s="68">
        <f>L40</f>
        <v>0</v>
      </c>
      <c r="E14" s="68"/>
      <c r="F14" s="68"/>
      <c r="G14" s="68"/>
      <c r="H14" s="70" t="s">
        <v>7</v>
      </c>
      <c r="I14" s="70"/>
      <c r="J14" s="3"/>
      <c r="K14" s="8"/>
      <c r="L14" s="8" t="s">
        <v>8</v>
      </c>
      <c r="M14" s="72" t="s">
        <v>25</v>
      </c>
      <c r="N14" s="65"/>
      <c r="O14" s="65"/>
    </row>
    <row r="15" spans="1:16" ht="21" customHeight="1" x14ac:dyDescent="0.4">
      <c r="B15" s="67"/>
      <c r="C15" s="67"/>
      <c r="D15" s="69"/>
      <c r="E15" s="69"/>
      <c r="F15" s="69"/>
      <c r="G15" s="69"/>
      <c r="H15" s="71"/>
      <c r="I15" s="71"/>
      <c r="J15" s="3"/>
      <c r="K15" s="8"/>
      <c r="L15" s="8" t="s">
        <v>9</v>
      </c>
      <c r="M15" s="65" t="s">
        <v>26</v>
      </c>
      <c r="N15" s="65"/>
      <c r="O15" s="65"/>
    </row>
    <row r="16" spans="1:16" ht="15" customHeight="1" x14ac:dyDescent="0.4"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</row>
    <row r="17" spans="2:15" ht="39.950000000000003" customHeight="1" x14ac:dyDescent="0.4">
      <c r="B17" s="52" t="s">
        <v>33</v>
      </c>
      <c r="C17" s="54"/>
      <c r="D17" s="53"/>
      <c r="E17" s="52" t="s">
        <v>34</v>
      </c>
      <c r="F17" s="54"/>
      <c r="G17" s="53"/>
      <c r="H17" s="52" t="s">
        <v>10</v>
      </c>
      <c r="I17" s="53"/>
      <c r="J17" s="52" t="s">
        <v>11</v>
      </c>
      <c r="K17" s="53"/>
      <c r="L17" s="52" t="s">
        <v>12</v>
      </c>
      <c r="M17" s="53"/>
      <c r="N17" s="52" t="s">
        <v>35</v>
      </c>
      <c r="O17" s="53"/>
    </row>
    <row r="18" spans="2:15" ht="29.1" customHeight="1" x14ac:dyDescent="0.4">
      <c r="B18" s="45"/>
      <c r="C18" s="46"/>
      <c r="D18" s="47"/>
      <c r="E18" s="45"/>
      <c r="F18" s="46"/>
      <c r="G18" s="47"/>
      <c r="H18" s="40"/>
      <c r="I18" s="39"/>
      <c r="J18" s="48"/>
      <c r="K18" s="49"/>
      <c r="L18" s="48" t="str">
        <f>IF(J18="","",H18*J18)</f>
        <v/>
      </c>
      <c r="M18" s="49"/>
      <c r="N18" s="48"/>
      <c r="O18" s="49"/>
    </row>
    <row r="19" spans="2:15" ht="29.1" customHeight="1" x14ac:dyDescent="0.4">
      <c r="B19" s="45"/>
      <c r="C19" s="46"/>
      <c r="D19" s="47"/>
      <c r="E19" s="45"/>
      <c r="F19" s="46"/>
      <c r="G19" s="47"/>
      <c r="H19" s="40"/>
      <c r="I19" s="39"/>
      <c r="J19" s="48"/>
      <c r="K19" s="49"/>
      <c r="L19" s="48" t="str">
        <f t="shared" ref="L19:L35" si="0">IF(J19="","",H19*J19)</f>
        <v/>
      </c>
      <c r="M19" s="49"/>
      <c r="N19" s="48"/>
      <c r="O19" s="49"/>
    </row>
    <row r="20" spans="2:15" ht="29.1" customHeight="1" x14ac:dyDescent="0.4">
      <c r="B20" s="45"/>
      <c r="C20" s="46"/>
      <c r="D20" s="47"/>
      <c r="E20" s="45"/>
      <c r="F20" s="46"/>
      <c r="G20" s="47"/>
      <c r="H20" s="40"/>
      <c r="I20" s="39"/>
      <c r="J20" s="48"/>
      <c r="K20" s="49"/>
      <c r="L20" s="48" t="str">
        <f t="shared" si="0"/>
        <v/>
      </c>
      <c r="M20" s="49"/>
      <c r="N20" s="48"/>
      <c r="O20" s="49"/>
    </row>
    <row r="21" spans="2:15" ht="29.1" customHeight="1" x14ac:dyDescent="0.4">
      <c r="B21" s="45"/>
      <c r="C21" s="46"/>
      <c r="D21" s="47"/>
      <c r="E21" s="45"/>
      <c r="F21" s="46"/>
      <c r="G21" s="47"/>
      <c r="H21" s="40"/>
      <c r="I21" s="39"/>
      <c r="J21" s="48"/>
      <c r="K21" s="49"/>
      <c r="L21" s="48" t="str">
        <f t="shared" si="0"/>
        <v/>
      </c>
      <c r="M21" s="49"/>
      <c r="N21" s="48"/>
      <c r="O21" s="49"/>
    </row>
    <row r="22" spans="2:15" ht="29.1" customHeight="1" x14ac:dyDescent="0.4">
      <c r="B22" s="45"/>
      <c r="C22" s="46"/>
      <c r="D22" s="47"/>
      <c r="E22" s="45"/>
      <c r="F22" s="46"/>
      <c r="G22" s="47"/>
      <c r="H22" s="40"/>
      <c r="I22" s="39"/>
      <c r="J22" s="48"/>
      <c r="K22" s="49"/>
      <c r="L22" s="48" t="str">
        <f t="shared" si="0"/>
        <v/>
      </c>
      <c r="M22" s="49"/>
      <c r="N22" s="48"/>
      <c r="O22" s="49"/>
    </row>
    <row r="23" spans="2:15" ht="29.1" customHeight="1" x14ac:dyDescent="0.4">
      <c r="B23" s="45"/>
      <c r="C23" s="46"/>
      <c r="D23" s="47"/>
      <c r="E23" s="45"/>
      <c r="F23" s="46"/>
      <c r="G23" s="47"/>
      <c r="H23" s="40"/>
      <c r="I23" s="39"/>
      <c r="J23" s="48"/>
      <c r="K23" s="49"/>
      <c r="L23" s="48" t="str">
        <f t="shared" si="0"/>
        <v/>
      </c>
      <c r="M23" s="49"/>
      <c r="N23" s="48"/>
      <c r="O23" s="49"/>
    </row>
    <row r="24" spans="2:15" ht="29.1" customHeight="1" x14ac:dyDescent="0.4">
      <c r="B24" s="45"/>
      <c r="C24" s="46"/>
      <c r="D24" s="47"/>
      <c r="E24" s="45"/>
      <c r="F24" s="46"/>
      <c r="G24" s="47"/>
      <c r="H24" s="40"/>
      <c r="I24" s="39"/>
      <c r="J24" s="48"/>
      <c r="K24" s="49"/>
      <c r="L24" s="48" t="str">
        <f t="shared" si="0"/>
        <v/>
      </c>
      <c r="M24" s="49"/>
      <c r="N24" s="48"/>
      <c r="O24" s="49"/>
    </row>
    <row r="25" spans="2:15" ht="29.1" customHeight="1" x14ac:dyDescent="0.4">
      <c r="B25" s="45"/>
      <c r="C25" s="46"/>
      <c r="D25" s="47"/>
      <c r="E25" s="45"/>
      <c r="F25" s="46"/>
      <c r="G25" s="47"/>
      <c r="H25" s="40"/>
      <c r="I25" s="39"/>
      <c r="J25" s="48"/>
      <c r="K25" s="49"/>
      <c r="L25" s="48" t="str">
        <f t="shared" si="0"/>
        <v/>
      </c>
      <c r="M25" s="49"/>
      <c r="N25" s="48"/>
      <c r="O25" s="49"/>
    </row>
    <row r="26" spans="2:15" ht="29.1" customHeight="1" x14ac:dyDescent="0.4">
      <c r="B26" s="45"/>
      <c r="C26" s="46"/>
      <c r="D26" s="47"/>
      <c r="E26" s="45"/>
      <c r="F26" s="46"/>
      <c r="G26" s="47"/>
      <c r="H26" s="40"/>
      <c r="I26" s="39"/>
      <c r="J26" s="48"/>
      <c r="K26" s="49"/>
      <c r="L26" s="48" t="str">
        <f t="shared" si="0"/>
        <v/>
      </c>
      <c r="M26" s="49"/>
      <c r="N26" s="48"/>
      <c r="O26" s="49"/>
    </row>
    <row r="27" spans="2:15" ht="29.1" customHeight="1" x14ac:dyDescent="0.4">
      <c r="B27" s="45"/>
      <c r="C27" s="46"/>
      <c r="D27" s="47"/>
      <c r="E27" s="45"/>
      <c r="F27" s="46"/>
      <c r="G27" s="47"/>
      <c r="H27" s="40"/>
      <c r="I27" s="39"/>
      <c r="J27" s="48"/>
      <c r="K27" s="49"/>
      <c r="L27" s="48" t="str">
        <f t="shared" si="0"/>
        <v/>
      </c>
      <c r="M27" s="49"/>
      <c r="N27" s="48"/>
      <c r="O27" s="49"/>
    </row>
    <row r="28" spans="2:15" ht="29.1" customHeight="1" x14ac:dyDescent="0.4">
      <c r="B28" s="45"/>
      <c r="C28" s="46"/>
      <c r="D28" s="47"/>
      <c r="E28" s="45"/>
      <c r="F28" s="46"/>
      <c r="G28" s="47"/>
      <c r="H28" s="40"/>
      <c r="I28" s="39"/>
      <c r="J28" s="48"/>
      <c r="K28" s="49"/>
      <c r="L28" s="48" t="str">
        <f t="shared" si="0"/>
        <v/>
      </c>
      <c r="M28" s="49"/>
      <c r="N28" s="48"/>
      <c r="O28" s="49"/>
    </row>
    <row r="29" spans="2:15" ht="29.1" customHeight="1" x14ac:dyDescent="0.4">
      <c r="B29" s="45"/>
      <c r="C29" s="46"/>
      <c r="D29" s="47"/>
      <c r="E29" s="45"/>
      <c r="F29" s="46"/>
      <c r="G29" s="47"/>
      <c r="H29" s="40"/>
      <c r="I29" s="39"/>
      <c r="J29" s="48"/>
      <c r="K29" s="49"/>
      <c r="L29" s="48" t="str">
        <f t="shared" si="0"/>
        <v/>
      </c>
      <c r="M29" s="49"/>
      <c r="N29" s="48"/>
      <c r="O29" s="49"/>
    </row>
    <row r="30" spans="2:15" ht="29.1" customHeight="1" x14ac:dyDescent="0.4">
      <c r="B30" s="45"/>
      <c r="C30" s="46"/>
      <c r="D30" s="47"/>
      <c r="E30" s="45"/>
      <c r="F30" s="46"/>
      <c r="G30" s="47"/>
      <c r="H30" s="40"/>
      <c r="I30" s="39"/>
      <c r="J30" s="48"/>
      <c r="K30" s="49"/>
      <c r="L30" s="48" t="str">
        <f t="shared" si="0"/>
        <v/>
      </c>
      <c r="M30" s="49"/>
      <c r="N30" s="48"/>
      <c r="O30" s="49"/>
    </row>
    <row r="31" spans="2:15" ht="29.1" customHeight="1" x14ac:dyDescent="0.4">
      <c r="B31" s="45"/>
      <c r="C31" s="46"/>
      <c r="D31" s="47"/>
      <c r="E31" s="45"/>
      <c r="F31" s="46"/>
      <c r="G31" s="47"/>
      <c r="H31" s="40"/>
      <c r="I31" s="39"/>
      <c r="J31" s="48"/>
      <c r="K31" s="49"/>
      <c r="L31" s="48" t="str">
        <f t="shared" si="0"/>
        <v/>
      </c>
      <c r="M31" s="49"/>
      <c r="N31" s="48"/>
      <c r="O31" s="49"/>
    </row>
    <row r="32" spans="2:15" ht="29.1" customHeight="1" x14ac:dyDescent="0.4">
      <c r="B32" s="45"/>
      <c r="C32" s="46"/>
      <c r="D32" s="47"/>
      <c r="E32" s="45"/>
      <c r="F32" s="46"/>
      <c r="G32" s="47"/>
      <c r="H32" s="40"/>
      <c r="I32" s="39"/>
      <c r="J32" s="48"/>
      <c r="K32" s="49"/>
      <c r="L32" s="48" t="str">
        <f t="shared" si="0"/>
        <v/>
      </c>
      <c r="M32" s="49"/>
      <c r="N32" s="48"/>
      <c r="O32" s="49"/>
    </row>
    <row r="33" spans="2:15" ht="29.1" customHeight="1" x14ac:dyDescent="0.4">
      <c r="B33" s="45"/>
      <c r="C33" s="46"/>
      <c r="D33" s="47"/>
      <c r="E33" s="45"/>
      <c r="F33" s="46"/>
      <c r="G33" s="47"/>
      <c r="H33" s="40"/>
      <c r="I33" s="39"/>
      <c r="J33" s="48"/>
      <c r="K33" s="49"/>
      <c r="L33" s="48" t="str">
        <f t="shared" si="0"/>
        <v/>
      </c>
      <c r="M33" s="49"/>
      <c r="N33" s="48"/>
      <c r="O33" s="49"/>
    </row>
    <row r="34" spans="2:15" ht="29.1" customHeight="1" x14ac:dyDescent="0.4">
      <c r="B34" s="45"/>
      <c r="C34" s="46"/>
      <c r="D34" s="47"/>
      <c r="E34" s="45"/>
      <c r="F34" s="46"/>
      <c r="G34" s="47"/>
      <c r="H34" s="40"/>
      <c r="I34" s="39"/>
      <c r="J34" s="48"/>
      <c r="K34" s="49"/>
      <c r="L34" s="48" t="str">
        <f t="shared" si="0"/>
        <v/>
      </c>
      <c r="M34" s="49"/>
      <c r="N34" s="48"/>
      <c r="O34" s="49"/>
    </row>
    <row r="35" spans="2:15" ht="29.1" customHeight="1" x14ac:dyDescent="0.4">
      <c r="B35" s="45"/>
      <c r="C35" s="46"/>
      <c r="D35" s="47"/>
      <c r="E35" s="45"/>
      <c r="F35" s="46"/>
      <c r="G35" s="47"/>
      <c r="H35" s="40"/>
      <c r="I35" s="39"/>
      <c r="J35" s="48"/>
      <c r="K35" s="49"/>
      <c r="L35" s="48" t="str">
        <f t="shared" si="0"/>
        <v/>
      </c>
      <c r="M35" s="49"/>
      <c r="N35" s="48"/>
      <c r="O35" s="49"/>
    </row>
    <row r="36" spans="2:15" ht="14.1" customHeight="1" x14ac:dyDescent="0.4">
      <c r="B36" s="12"/>
      <c r="C36" s="12"/>
      <c r="D36" s="12"/>
      <c r="E36" s="12"/>
      <c r="F36" s="12"/>
      <c r="G36" s="12"/>
      <c r="H36" s="12"/>
      <c r="I36" s="12"/>
      <c r="J36" s="97" t="s">
        <v>17</v>
      </c>
      <c r="K36" s="98"/>
      <c r="L36" s="91">
        <f>SUM(L18:M35)</f>
        <v>0</v>
      </c>
      <c r="M36" s="92"/>
      <c r="N36" s="92"/>
      <c r="O36" s="93"/>
    </row>
    <row r="37" spans="2:15" ht="14.1" customHeight="1" x14ac:dyDescent="0.4">
      <c r="J37" s="99"/>
      <c r="K37" s="100"/>
      <c r="L37" s="94"/>
      <c r="M37" s="95"/>
      <c r="N37" s="95"/>
      <c r="O37" s="96"/>
    </row>
    <row r="38" spans="2:15" ht="14.1" customHeight="1" x14ac:dyDescent="0.4">
      <c r="J38" s="89" t="s">
        <v>18</v>
      </c>
      <c r="K38" s="90"/>
      <c r="L38" s="91">
        <f>PRODUCT(L36,K38)</f>
        <v>0</v>
      </c>
      <c r="M38" s="92"/>
      <c r="N38" s="92"/>
      <c r="O38" s="93"/>
    </row>
    <row r="39" spans="2:15" ht="14.1" customHeight="1" x14ac:dyDescent="0.4">
      <c r="J39" s="89"/>
      <c r="K39" s="90"/>
      <c r="L39" s="94"/>
      <c r="M39" s="95"/>
      <c r="N39" s="95"/>
      <c r="O39" s="96"/>
    </row>
    <row r="40" spans="2:15" ht="14.1" customHeight="1" x14ac:dyDescent="0.4">
      <c r="J40" s="74" t="s">
        <v>19</v>
      </c>
      <c r="K40" s="75"/>
      <c r="L40" s="76">
        <f>SUM(L36,L38)</f>
        <v>0</v>
      </c>
      <c r="M40" s="77"/>
      <c r="N40" s="77"/>
      <c r="O40" s="78"/>
    </row>
    <row r="41" spans="2:15" ht="13.5" customHeight="1" x14ac:dyDescent="0.4">
      <c r="J41" s="74"/>
      <c r="K41" s="75"/>
      <c r="L41" s="79"/>
      <c r="M41" s="80"/>
      <c r="N41" s="80"/>
      <c r="O41" s="81"/>
    </row>
    <row r="42" spans="2:15" ht="15" customHeight="1" x14ac:dyDescent="0.4"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</row>
    <row r="43" spans="2:15" ht="21" customHeight="1" x14ac:dyDescent="0.4">
      <c r="B43" s="83" t="s">
        <v>46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5"/>
    </row>
    <row r="44" spans="2:15" ht="104.25" customHeight="1" x14ac:dyDescent="0.4">
      <c r="B44" s="86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8"/>
    </row>
    <row r="45" spans="2:15" s="13" customFormat="1" ht="24" x14ac:dyDescent="0.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s="13" customFormat="1" ht="24" x14ac:dyDescent="0.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4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4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4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4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4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4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4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4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4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ht="23.25" customHeight="1" x14ac:dyDescent="0.4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4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4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4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4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4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x14ac:dyDescent="0.4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x14ac:dyDescent="0.4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mergeCells count="134">
    <mergeCell ref="J40:K41"/>
    <mergeCell ref="L40:O41"/>
    <mergeCell ref="B42:O42"/>
    <mergeCell ref="B43:O43"/>
    <mergeCell ref="B44:O44"/>
    <mergeCell ref="J38:J39"/>
    <mergeCell ref="K38:K39"/>
    <mergeCell ref="L38:O39"/>
    <mergeCell ref="L35:M35"/>
    <mergeCell ref="N35:O35"/>
    <mergeCell ref="J36:K37"/>
    <mergeCell ref="L36:O37"/>
    <mergeCell ref="B35:D35"/>
    <mergeCell ref="E35:G35"/>
    <mergeCell ref="J35:K35"/>
    <mergeCell ref="L31:M31"/>
    <mergeCell ref="N31:O31"/>
    <mergeCell ref="L32:M32"/>
    <mergeCell ref="N32:O32"/>
    <mergeCell ref="B31:D31"/>
    <mergeCell ref="E31:G31"/>
    <mergeCell ref="J31:K31"/>
    <mergeCell ref="B32:D32"/>
    <mergeCell ref="E32:G32"/>
    <mergeCell ref="J32:K32"/>
    <mergeCell ref="L29:M29"/>
    <mergeCell ref="N29:O29"/>
    <mergeCell ref="L30:M30"/>
    <mergeCell ref="N30:O30"/>
    <mergeCell ref="B29:D29"/>
    <mergeCell ref="E29:G29"/>
    <mergeCell ref="J29:K29"/>
    <mergeCell ref="B30:D30"/>
    <mergeCell ref="E30:G30"/>
    <mergeCell ref="J30:K30"/>
    <mergeCell ref="L27:M27"/>
    <mergeCell ref="N27:O27"/>
    <mergeCell ref="L28:M28"/>
    <mergeCell ref="N28:O28"/>
    <mergeCell ref="B27:D27"/>
    <mergeCell ref="E27:G27"/>
    <mergeCell ref="J27:K27"/>
    <mergeCell ref="B28:D28"/>
    <mergeCell ref="E28:G28"/>
    <mergeCell ref="J28:K28"/>
    <mergeCell ref="L25:M25"/>
    <mergeCell ref="N25:O25"/>
    <mergeCell ref="L26:M26"/>
    <mergeCell ref="N26:O26"/>
    <mergeCell ref="B25:D25"/>
    <mergeCell ref="E25:G25"/>
    <mergeCell ref="J25:K25"/>
    <mergeCell ref="B26:D26"/>
    <mergeCell ref="E26:G26"/>
    <mergeCell ref="J26:K26"/>
    <mergeCell ref="L23:M23"/>
    <mergeCell ref="N23:O23"/>
    <mergeCell ref="L24:M24"/>
    <mergeCell ref="N24:O24"/>
    <mergeCell ref="B23:D23"/>
    <mergeCell ref="E23:G23"/>
    <mergeCell ref="J23:K23"/>
    <mergeCell ref="B24:D24"/>
    <mergeCell ref="E24:G24"/>
    <mergeCell ref="J24:K24"/>
    <mergeCell ref="L21:M21"/>
    <mergeCell ref="N21:O21"/>
    <mergeCell ref="L22:M22"/>
    <mergeCell ref="N22:O22"/>
    <mergeCell ref="B21:D21"/>
    <mergeCell ref="E21:G21"/>
    <mergeCell ref="J21:K21"/>
    <mergeCell ref="B22:D22"/>
    <mergeCell ref="E22:G22"/>
    <mergeCell ref="J22:K22"/>
    <mergeCell ref="L19:M19"/>
    <mergeCell ref="N19:O19"/>
    <mergeCell ref="L20:M20"/>
    <mergeCell ref="N20:O20"/>
    <mergeCell ref="B19:D19"/>
    <mergeCell ref="E19:G19"/>
    <mergeCell ref="J19:K19"/>
    <mergeCell ref="B20:D20"/>
    <mergeCell ref="E20:G20"/>
    <mergeCell ref="J20:K20"/>
    <mergeCell ref="D12:E12"/>
    <mergeCell ref="F12:I12"/>
    <mergeCell ref="M12:O12"/>
    <mergeCell ref="L18:M18"/>
    <mergeCell ref="N18:O18"/>
    <mergeCell ref="M13:O13"/>
    <mergeCell ref="B14:C15"/>
    <mergeCell ref="D14:G15"/>
    <mergeCell ref="H14:I15"/>
    <mergeCell ref="M14:O14"/>
    <mergeCell ref="M15:O15"/>
    <mergeCell ref="E18:G18"/>
    <mergeCell ref="J18:K18"/>
    <mergeCell ref="B16:O16"/>
    <mergeCell ref="M1:O1"/>
    <mergeCell ref="M2:O2"/>
    <mergeCell ref="B3:O3"/>
    <mergeCell ref="B4:O4"/>
    <mergeCell ref="B8:I8"/>
    <mergeCell ref="K8:P8"/>
    <mergeCell ref="K9:O9"/>
    <mergeCell ref="B10:C10"/>
    <mergeCell ref="D10:E10"/>
    <mergeCell ref="F10:I10"/>
    <mergeCell ref="K10:O10"/>
    <mergeCell ref="B33:D33"/>
    <mergeCell ref="E33:G33"/>
    <mergeCell ref="J33:K33"/>
    <mergeCell ref="B34:D34"/>
    <mergeCell ref="E34:G34"/>
    <mergeCell ref="J34:K34"/>
    <mergeCell ref="B5:I5"/>
    <mergeCell ref="B6:I6"/>
    <mergeCell ref="N34:O34"/>
    <mergeCell ref="L34:M34"/>
    <mergeCell ref="N33:O33"/>
    <mergeCell ref="L33:M33"/>
    <mergeCell ref="N17:O17"/>
    <mergeCell ref="L17:M17"/>
    <mergeCell ref="J17:K17"/>
    <mergeCell ref="B17:D17"/>
    <mergeCell ref="E17:G17"/>
    <mergeCell ref="H17:I17"/>
    <mergeCell ref="B18:D18"/>
    <mergeCell ref="B11:C11"/>
    <mergeCell ref="D11:E11"/>
    <mergeCell ref="F11:I11"/>
    <mergeCell ref="K11:O11"/>
    <mergeCell ref="B12:C12"/>
  </mergeCells>
  <phoneticPr fontId="1"/>
  <hyperlinks>
    <hyperlink ref="M14" r:id="rId1" xr:uid="{9CBD8803-1C65-431F-9AC7-CDAD6CCA0E73}"/>
  </hyperlinks>
  <printOptions horizontalCentered="1" verticalCentered="1"/>
  <pageMargins left="0.19685039370078741" right="0" top="0" bottom="0" header="0" footer="0"/>
  <pageSetup paperSize="9" scale="70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17</vt:i4>
      </vt:variant>
    </vt:vector>
  </HeadingPairs>
  <TitlesOfParts>
    <vt:vector size="22" baseType="lpstr">
      <vt:lpstr>見積データ</vt:lpstr>
      <vt:lpstr>見積商品セットデータ</vt:lpstr>
      <vt:lpstr>商品データ</vt:lpstr>
      <vt:lpstr>基礎データ</vt:lpstr>
      <vt:lpstr>テンプレート</vt:lpstr>
      <vt:lpstr>テンプレート!Print_Area</vt:lpstr>
      <vt:lpstr>テンプレート_その他備考格納セル</vt:lpstr>
      <vt:lpstr>テンプレート_会社名格納セル</vt:lpstr>
      <vt:lpstr>テンプレート_見積日格納セル</vt:lpstr>
      <vt:lpstr>テンプレート_見積番号格納セル</vt:lpstr>
      <vt:lpstr>テンプレート_支払条件格納セル</vt:lpstr>
      <vt:lpstr>テンプレート_消費税格納セル</vt:lpstr>
      <vt:lpstr>テンプレート_担当者格納セル</vt:lpstr>
      <vt:lpstr>テンプレート_納期格納セル</vt:lpstr>
      <vt:lpstr>テンプレート_有効期限格納セル</vt:lpstr>
      <vt:lpstr>見積データ_見積商品セット番号入力欄</vt:lpstr>
      <vt:lpstr>見積データ列_ヘッダー</vt:lpstr>
      <vt:lpstr>見積商品セットデータ_商品コード入力欄</vt:lpstr>
      <vt:lpstr>見積商品セットデータ列_ヘッダー</vt:lpstr>
      <vt:lpstr>商品データ列_ヘッダー</vt:lpstr>
      <vt:lpstr>商品テーブル_ヘッダー</vt:lpstr>
      <vt:lpstr>消費税の値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dede_20191130</dc:creator>
  <cp:lastModifiedBy>dede_20191130</cp:lastModifiedBy>
  <dcterms:created xsi:type="dcterms:W3CDTF">2020-04-10T06:07:08Z</dcterms:created>
  <dcterms:modified xsi:type="dcterms:W3CDTF">2020-04-28T12:03:25Z</dcterms:modified>
</cp:coreProperties>
</file>